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89b0892fc5a64fe/바탕 화면/FPnA/"/>
    </mc:Choice>
  </mc:AlternateContent>
  <xr:revisionPtr revIDLastSave="157" documentId="13_ncr:1_{604F0A6E-7C7A-4ACB-BC41-3AC3438D7BF3}" xr6:coauthVersionLast="47" xr6:coauthVersionMax="47" xr10:uidLastSave="{71AA14C6-F5C0-42EC-935D-650E5348A0C3}"/>
  <bookViews>
    <workbookView xWindow="12825" yWindow="1320" windowWidth="15795" windowHeight="12015" activeTab="1" xr2:uid="{DC1C25A5-9592-45D0-8A66-BC43A9BBCEA5}"/>
  </bookViews>
  <sheets>
    <sheet name="Operating CF" sheetId="1" r:id="rId1"/>
    <sheet name="Cities" sheetId="3" r:id="rId2"/>
    <sheet name="Sheet2" sheetId="4" r:id="rId3"/>
    <sheet name="Ticker" sheetId="2" r:id="rId4"/>
  </sheets>
  <functionGroups builtInGroupCount="19"/>
  <definedNames>
    <definedName name="_xlnm._FilterDatabase" localSheetId="0" hidden="1">'Operating CF'!$B$2:$J$183</definedName>
    <definedName name="_xlnm.Criteria" localSheetId="1">Cities!$A$1:$A$2</definedName>
    <definedName name="_xlnm.Extract" localSheetId="1">Cities!$D$1</definedName>
    <definedName name="NameSampleHeader">Cities!$G$1:$M$1</definedName>
    <definedName name="SaveLocation">Sheet2!$B$1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9" i="1" l="1"/>
  <c r="J158" i="1"/>
  <c r="J157" i="1"/>
  <c r="J156" i="1"/>
  <c r="J155" i="1"/>
  <c r="J154" i="1"/>
  <c r="J153" i="1"/>
  <c r="J152" i="1"/>
  <c r="J151" i="1"/>
  <c r="J150" i="1"/>
  <c r="J149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60" i="1"/>
  <c r="D160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49" i="1"/>
  <c r="D149" i="1"/>
  <c r="G159" i="1"/>
  <c r="G158" i="1"/>
  <c r="G157" i="1"/>
  <c r="G156" i="1"/>
  <c r="G154" i="1"/>
  <c r="G153" i="1"/>
  <c r="G152" i="1"/>
  <c r="G151" i="1"/>
  <c r="G150" i="1"/>
  <c r="G149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3" i="1"/>
  <c r="G132" i="1"/>
  <c r="G131" i="1"/>
  <c r="G130" i="1"/>
  <c r="G129" i="1"/>
  <c r="G127" i="1"/>
  <c r="C127" i="1"/>
  <c r="D127" i="1"/>
  <c r="G118" i="1"/>
  <c r="G119" i="1"/>
  <c r="G120" i="1"/>
  <c r="G121" i="1"/>
  <c r="G122" i="1"/>
  <c r="G123" i="1"/>
  <c r="G124" i="1"/>
  <c r="G125" i="1"/>
  <c r="G126" i="1"/>
  <c r="G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17" i="1"/>
  <c r="D117" i="1"/>
  <c r="G116" i="1"/>
  <c r="G115" i="1"/>
  <c r="G114" i="1"/>
  <c r="G113" i="1"/>
  <c r="G112" i="1"/>
  <c r="G111" i="1"/>
  <c r="G110" i="1"/>
  <c r="G108" i="1"/>
  <c r="G107" i="1"/>
  <c r="G106" i="1"/>
  <c r="G105" i="1"/>
  <c r="G104" i="1"/>
  <c r="G103" i="1"/>
  <c r="G102" i="1"/>
  <c r="G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00" i="1"/>
  <c r="D100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84" i="1"/>
  <c r="D84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4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G83" i="1"/>
  <c r="G82" i="1"/>
  <c r="G81" i="1"/>
  <c r="G80" i="1"/>
  <c r="G79" i="1"/>
  <c r="G77" i="1"/>
  <c r="G76" i="1"/>
  <c r="G75" i="1"/>
  <c r="G74" i="1"/>
  <c r="G73" i="1"/>
  <c r="G72" i="1"/>
  <c r="G71" i="1"/>
  <c r="G69" i="1"/>
  <c r="G68" i="1"/>
  <c r="G67" i="1"/>
  <c r="G66" i="1"/>
  <c r="G65" i="1"/>
  <c r="G64" i="1"/>
  <c r="G63" i="1"/>
  <c r="G62" i="1"/>
  <c r="G61" i="1"/>
  <c r="G60" i="1"/>
  <c r="G58" i="1"/>
  <c r="G57" i="1"/>
  <c r="G56" i="1"/>
  <c r="G55" i="1"/>
  <c r="G54" i="1"/>
  <c r="G53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G50" i="1"/>
  <c r="G49" i="1"/>
  <c r="G48" i="1"/>
  <c r="G47" i="1"/>
  <c r="G46" i="1"/>
  <c r="G44" i="1"/>
  <c r="G43" i="1"/>
  <c r="G42" i="1"/>
  <c r="G41" i="1"/>
  <c r="G40" i="1"/>
  <c r="G39" i="1"/>
  <c r="G38" i="1"/>
  <c r="G37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G33" i="1"/>
  <c r="G32" i="1"/>
  <c r="G31" i="1"/>
  <c r="G30" i="1"/>
  <c r="G29" i="1"/>
  <c r="G21" i="1"/>
  <c r="G22" i="1"/>
  <c r="G23" i="1"/>
  <c r="G24" i="1"/>
  <c r="G25" i="1"/>
  <c r="G26" i="1"/>
  <c r="G27" i="1"/>
  <c r="G20" i="1"/>
  <c r="C18" i="1"/>
  <c r="D18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G17" i="1"/>
  <c r="G16" i="1"/>
  <c r="G15" i="1"/>
  <c r="G14" i="1"/>
  <c r="G13" i="1"/>
  <c r="G12" i="1"/>
  <c r="G11" i="1"/>
  <c r="G10" i="1"/>
  <c r="G6" i="1"/>
  <c r="G7" i="1"/>
  <c r="G8" i="1"/>
  <c r="G5" i="1"/>
  <c r="D3" i="1"/>
  <c r="C3" i="1"/>
</calcChain>
</file>

<file path=xl/sharedStrings.xml><?xml version="1.0" encoding="utf-8"?>
<sst xmlns="http://schemas.openxmlformats.org/spreadsheetml/2006/main" count="431" uniqueCount="205">
  <si>
    <t>Net income</t>
  </si>
  <si>
    <t>12 Months Ended</t>
  </si>
  <si>
    <t>Ticker</t>
  </si>
  <si>
    <t>Company</t>
  </si>
  <si>
    <t>Amount</t>
  </si>
  <si>
    <t>No.</t>
  </si>
  <si>
    <t>AAPL</t>
  </si>
  <si>
    <t>Market</t>
  </si>
  <si>
    <t>NASDAQ</t>
  </si>
  <si>
    <t>Apple Inc.</t>
  </si>
  <si>
    <t>NFLX</t>
  </si>
  <si>
    <t>Netflix, Inc.</t>
  </si>
  <si>
    <t>Account1</t>
  </si>
  <si>
    <t>Account2</t>
  </si>
  <si>
    <t>Adjustments to reconcile net income to cash generated by operating activities:</t>
  </si>
  <si>
    <t>Depreciation and amortization</t>
  </si>
  <si>
    <t>Share-based compensation expense</t>
  </si>
  <si>
    <t>Deferred income tax benefit</t>
  </si>
  <si>
    <t>Other</t>
  </si>
  <si>
    <t>Changes in operating assets and liabilities:</t>
  </si>
  <si>
    <t>Accounts receivable, net</t>
  </si>
  <si>
    <t>Inventories</t>
  </si>
  <si>
    <t>Vendor non-trade receivables</t>
  </si>
  <si>
    <t>Other current and non-current assets</t>
  </si>
  <si>
    <t>Accounts payable</t>
  </si>
  <si>
    <t>Deferred revenue</t>
  </si>
  <si>
    <t>Other current and non-current liabilities</t>
  </si>
  <si>
    <t>Cash generated by operating activities</t>
  </si>
  <si>
    <t>Adjustments to reconcile net income to net cash provided by operating activities:</t>
  </si>
  <si>
    <t>Additions to content assets</t>
  </si>
  <si>
    <t>Change in content liabilities</t>
  </si>
  <si>
    <t>Amortization of content assets</t>
  </si>
  <si>
    <t>Depreciation and amortization of property, equipment and intangibles</t>
  </si>
  <si>
    <t>Stock-based compensation expense</t>
  </si>
  <si>
    <t>Foreign currency remeasurement loss (gain) on debt</t>
  </si>
  <si>
    <t>Other non-cash items</t>
  </si>
  <si>
    <t>Deferred income taxes</t>
  </si>
  <si>
    <t>Other current assets</t>
  </si>
  <si>
    <t>Accrued expenses and other liabilities</t>
  </si>
  <si>
    <t>Other non-current assets and liabilities</t>
  </si>
  <si>
    <t>Net cash provided by operating activities</t>
  </si>
  <si>
    <t>Unit</t>
  </si>
  <si>
    <t>in thousands</t>
  </si>
  <si>
    <t>in millions</t>
  </si>
  <si>
    <t>Sector (GICS)</t>
  </si>
  <si>
    <t>Information Technology</t>
  </si>
  <si>
    <t>Consumer Discrepancy</t>
  </si>
  <si>
    <t>NYSE</t>
  </si>
  <si>
    <t>MMM</t>
  </si>
  <si>
    <t>3M</t>
  </si>
  <si>
    <t>Materials</t>
  </si>
  <si>
    <t>Net income including noncontrolling interest</t>
  </si>
  <si>
    <t>Adjustments to reconcile net income including noncontrolling interest to net cash provided by operating activities</t>
  </si>
  <si>
    <t>Long-lived and indefinite-lived asset impairment expense</t>
  </si>
  <si>
    <t>Goodwill impairment expense</t>
  </si>
  <si>
    <t>Company pension and postretirement contributions</t>
  </si>
  <si>
    <t>Company pension and postretirement expense</t>
  </si>
  <si>
    <t>Gain on business divestitures</t>
  </si>
  <si>
    <t>Changes in assets and liabilities</t>
  </si>
  <si>
    <t>Accounts receivable</t>
  </si>
  <si>
    <t>Accrued income taxes (current and long-term)</t>
  </si>
  <si>
    <t>Other — net</t>
  </si>
  <si>
    <t>DAL</t>
  </si>
  <si>
    <t>Delta Air Lines, Inc.</t>
  </si>
  <si>
    <t>Industrials</t>
  </si>
  <si>
    <t>Net income/(loss)</t>
  </si>
  <si>
    <t>Restructuring charges</t>
  </si>
  <si>
    <t>(Gain)/loss on fair value investments</t>
  </si>
  <si>
    <t>Pension, postretirement and postemployment payments (greater)/less than expense</t>
  </si>
  <si>
    <t>Impairments and equity method results</t>
  </si>
  <si>
    <t>Changes in certain assets and liabilities:</t>
  </si>
  <si>
    <t>Receivables</t>
  </si>
  <si>
    <t>Fuel inventory</t>
  </si>
  <si>
    <t>Prepaids and other current assets</t>
  </si>
  <si>
    <t>Air traffic liability</t>
  </si>
  <si>
    <t>Loyalty program deferred revenue</t>
  </si>
  <si>
    <t>Profit sharing</t>
  </si>
  <si>
    <t>Other payables, deferred revenue and accrued liabilities</t>
  </si>
  <si>
    <t>Noncurrent liabilities</t>
  </si>
  <si>
    <t>Other, net</t>
  </si>
  <si>
    <t>JNJ</t>
  </si>
  <si>
    <t>Johnson &amp; Johnson</t>
  </si>
  <si>
    <t>Health Care</t>
  </si>
  <si>
    <t>Net earnings</t>
  </si>
  <si>
    <t>Adjustments to reconcile net earnings to cash flows from operating activities:</t>
  </si>
  <si>
    <t>Depreciation and amortization of property and intangibles</t>
  </si>
  <si>
    <t>Stock based compensation</t>
  </si>
  <si>
    <t>Asset write-downs</t>
  </si>
  <si>
    <t>Contingent consideration reversal</t>
  </si>
  <si>
    <t>Net gain on sale of assets/businesses</t>
  </si>
  <si>
    <t>Deferred tax provision</t>
  </si>
  <si>
    <t>Credit losses and accounts receivable allowances</t>
  </si>
  <si>
    <t>Changes in assets and liabilities, net of effects from acquisitions and divestitures:</t>
  </si>
  <si>
    <t>(Increase)/Decrease in accounts receivable</t>
  </si>
  <si>
    <t>Increase in inventories</t>
  </si>
  <si>
    <t>Increase in accounts payable and accrued liabilities</t>
  </si>
  <si>
    <t>Decrease/(Increase) in other current and non-current assets</t>
  </si>
  <si>
    <t>(Decrease)/Increase in other current and non-current liabilities</t>
  </si>
  <si>
    <t>C</t>
  </si>
  <si>
    <t>Financials</t>
  </si>
  <si>
    <t>Citigroup Inc.</t>
  </si>
  <si>
    <t>Income from continuing operations—excluding noncontrolling interests</t>
  </si>
  <si>
    <t>Net loss (gain) on sale of significant disposals(1)</t>
  </si>
  <si>
    <t>Provisions for credit losses on loans and unfunded lending commitments</t>
  </si>
  <si>
    <t>Realized gains from sales of investments</t>
  </si>
  <si>
    <t>Impairment losses on investments and other assets</t>
  </si>
  <si>
    <t>Goodwill impairment</t>
  </si>
  <si>
    <t>Change in trading account assets</t>
  </si>
  <si>
    <t>Change in trading account liabilities</t>
  </si>
  <si>
    <t>Change in brokerage receivables net of brokerage payables</t>
  </si>
  <si>
    <t>Change in loans held-for-sale (HFS)</t>
  </si>
  <si>
    <t>Change in other assets</t>
  </si>
  <si>
    <t>Change in other liabilities</t>
  </si>
  <si>
    <t>Other, net(2)</t>
  </si>
  <si>
    <t>Adjustments to reconcile net income to net cash provided by (used in) operating activities of continuing operations</t>
  </si>
  <si>
    <t>T</t>
  </si>
  <si>
    <t>AT&amp;T Inc.</t>
  </si>
  <si>
    <t>Communication Services</t>
  </si>
  <si>
    <t>Income (loss) from continuing operations</t>
  </si>
  <si>
    <t>Adjustments to reconcile income (loss) from continuing operations to net cash provided by operating activities from continuing operations:</t>
  </si>
  <si>
    <t>Provision for uncollectible accounts</t>
  </si>
  <si>
    <t>Deferred income tax expense</t>
  </si>
  <si>
    <t>Net (gain) loss on investments, net of impairments</t>
  </si>
  <si>
    <t>Pension and postretirement benefit expense (credit)</t>
  </si>
  <si>
    <t>Actuarial (gain) loss on pension and postretirement benefits</t>
  </si>
  <si>
    <t>Asset impairments and abandonments and restructuring</t>
  </si>
  <si>
    <t>Accounts payable and other accrued liabilities</t>
  </si>
  <si>
    <t>Equipment installment receivables and related sales</t>
  </si>
  <si>
    <t>Deferred customer contract acquisition and fulfillment costs</t>
  </si>
  <si>
    <t>Postretirement claims and contributions</t>
  </si>
  <si>
    <t>Other – net</t>
  </si>
  <si>
    <t>KO</t>
  </si>
  <si>
    <t>Coca-Cola Co.</t>
  </si>
  <si>
    <t>Consumer Staples</t>
  </si>
  <si>
    <t>Consolidated net income</t>
  </si>
  <si>
    <t>Equity (income) loss — net of dividends</t>
  </si>
  <si>
    <t>Foreign currency adjustments</t>
  </si>
  <si>
    <t>Significant (gains) losses — net</t>
  </si>
  <si>
    <t>Other operating charges</t>
  </si>
  <si>
    <t>Other items</t>
  </si>
  <si>
    <t>Net change in operating assets and liabilities</t>
  </si>
  <si>
    <t>ED</t>
  </si>
  <si>
    <t>Consolidated Edison, Inc.</t>
  </si>
  <si>
    <t>Utilities</t>
  </si>
  <si>
    <t>Net Income</t>
  </si>
  <si>
    <t>PRINCIPAL NON-CASH CHARGES/(CREDITS) TO INCOME</t>
  </si>
  <si>
    <t>Impairment of assets</t>
  </si>
  <si>
    <t>Net derivative (gains)/losses</t>
  </si>
  <si>
    <t>Other non-cash items, net</t>
  </si>
  <si>
    <t>CHANGES IN ASSETS AND LIABILITIES</t>
  </si>
  <si>
    <t>Accounts receivable - customers</t>
  </si>
  <si>
    <t>Unbilled revenue and net unbilled revenue deferrals</t>
  </si>
  <si>
    <t>Allowance for uncollectible accounts – customers</t>
  </si>
  <si>
    <t>Materials and supplies, including fuel oil and gas in storage</t>
  </si>
  <si>
    <t>Prepayments, other receivables and other current assets</t>
  </si>
  <si>
    <t>Pensions and retiree benefits obligations, net</t>
  </si>
  <si>
    <t>Pensions and retiree benefits contributions</t>
  </si>
  <si>
    <t>Accrued taxes</t>
  </si>
  <si>
    <t>Distributions from equity investments</t>
  </si>
  <si>
    <t>System benefit charge</t>
  </si>
  <si>
    <t>Deferred charges, noncurrent assets, leases, net and other regulatory assets</t>
  </si>
  <si>
    <t>Deferred credits, noncurrent liabilities and other regulatory liabilities</t>
  </si>
  <si>
    <t>Other current liabilities</t>
  </si>
  <si>
    <t>NYSEAMERICAN</t>
  </si>
  <si>
    <t>HUSA</t>
  </si>
  <si>
    <t>Houston American Energy Corporation</t>
  </si>
  <si>
    <t>Energy</t>
  </si>
  <si>
    <t>Net loss</t>
  </si>
  <si>
    <t>Adjustments to reconcile net loss to net cash used in operations</t>
  </si>
  <si>
    <t>Depreciation and depletion</t>
  </si>
  <si>
    <t>Accretion of plugging and abandonment costs</t>
  </si>
  <si>
    <t>Stock-based compensation</t>
  </si>
  <si>
    <t>Amortization of right of use asset</t>
  </si>
  <si>
    <t>Change in operating assets and liabilities:</t>
  </si>
  <si>
    <t>Decrease/(Increase) in accounts receivable</t>
  </si>
  <si>
    <t>Decrease/(Increase) in prepaid expense and other current assets</t>
  </si>
  <si>
    <t>Increase/(Decrease) in accounts payable and accrued expenses</t>
  </si>
  <si>
    <t>Decrease in operating lease liability</t>
  </si>
  <si>
    <t>USD</t>
  </si>
  <si>
    <t>CBRE</t>
  </si>
  <si>
    <t>CBRE Group, Inc.</t>
  </si>
  <si>
    <t>Real Estate</t>
  </si>
  <si>
    <t>Amortization and write-off of financing costs on extinguished debt</t>
  </si>
  <si>
    <t>Gains related to mortgage servicing rights, premiums on loan sales and sales of other assets</t>
  </si>
  <si>
    <t>Asset impairments</t>
  </si>
  <si>
    <t>Net realized and unrealized losses (gains), primarily from investments</t>
  </si>
  <si>
    <t>Provision for doubtful accounts</t>
  </si>
  <si>
    <t>Net compensation expense for equity awards</t>
  </si>
  <si>
    <t>Gain recognized upon deconsolidation of SPAC</t>
  </si>
  <si>
    <t>Equity income from unconsolidated subsidiaries</t>
  </si>
  <si>
    <t>Distribution of earnings from unconsolidated subsidiaries</t>
  </si>
  <si>
    <t>Proceeds from sale of mortgage loans</t>
  </si>
  <si>
    <t>Origination of mortgage loans</t>
  </si>
  <si>
    <t>(Decrease) increase in warehouse lines of credit</t>
  </si>
  <si>
    <t>Tenant concessions received</t>
  </si>
  <si>
    <t>Purchase of equity securities</t>
  </si>
  <si>
    <t>Proceeds from sale of equity securities</t>
  </si>
  <si>
    <t>Decrease (increase) in real estate under development</t>
  </si>
  <si>
    <t>(Increase) decrease in receivables, prepaid expenses and other assets (including contract and lease assets)</t>
  </si>
  <si>
    <t>Increase in accounts payable and accrued expenses and other liabilities (including contract and lease liabilities)</t>
  </si>
  <si>
    <t>(Decrease) increase in compensation and employee benefits payable and accrued bonus and profit sharing</t>
  </si>
  <si>
    <t>(Increase) decrease in net income taxes receivable/payable</t>
  </si>
  <si>
    <t>Other operating activities, net</t>
  </si>
  <si>
    <t>SaveLocation</t>
  </si>
  <si>
    <t>C:\Users\althe\OneDrive\바탕 화면\FPnA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</si>
</sst>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_(&quot;$ &quot;#,##0_);_(&quot;$ &quot;\(#,##0\)"/>
    <numFmt numFmtId="165" formatCode="#,##0_ ;[Red]\-#,##0\ "/>
  </numFmts>
  <fonts count="6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Calibri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right" vertical="top"/>
    </xf>
    <xf numFmtId="37" fontId="2" fillId="0" borderId="0" xfId="0" applyNumberFormat="1" applyFont="1" applyAlignment="1">
      <alignment horizontal="right" vertical="top"/>
    </xf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3" fillId="2" borderId="0" xfId="0" applyFont="1" applyFill="1"/>
    <xf numFmtId="164" fontId="4" fillId="0" borderId="0" xfId="0" applyNumberFormat="1" applyFont="1" applyAlignment="1">
      <alignment horizontal="right" vertical="top"/>
    </xf>
    <xf numFmtId="165" fontId="0" fillId="0" borderId="0" xfId="0" applyNumberFormat="1"/>
    <xf numFmtId="165" fontId="3" fillId="2" borderId="0" xfId="0" applyNumberFormat="1" applyFont="1" applyFill="1"/>
    <xf numFmtId="165" fontId="4" fillId="0" borderId="0" xfId="0" applyNumberFormat="1" applyFont="1" applyAlignment="1">
      <alignment horizontal="right" vertical="top"/>
    </xf>
    <xf numFmtId="165" fontId="0" fillId="0" borderId="0" xfId="1" applyNumberFormat="1" applyFont="1"/>
    <xf numFmtId="165" fontId="2" fillId="0" borderId="0" xfId="0" applyNumberFormat="1" applyFont="1" applyAlignment="1">
      <alignment horizontal="right" vertical="top"/>
    </xf>
    <xf numFmtId="0" fontId="2" fillId="0" borderId="0" xfId="0" applyFont="1" applyAlignment="1">
      <alignment horizontal="center" vertical="center" wrapText="1"/>
    </xf>
    <xf numFmtId="0" fontId="0" fillId="0" borderId="0" xfId="0"/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8BC40-A062-4B9B-A10A-E53BEFAD514D}">
  <sheetPr codeName="shtData"/>
  <dimension ref="B1:K183"/>
  <sheetViews>
    <sheetView workbookViewId="0">
      <pane xSplit="7" ySplit="2" topLeftCell="J3" activePane="bottomRight" state="frozen"/>
      <selection pane="topRight" activeCell="H1" sqref="H1"/>
      <selection pane="bottomLeft" activeCell="A3" sqref="A3"/>
      <selection pane="bottomRight" activeCell="B2" sqref="B2"/>
    </sheetView>
  </sheetViews>
  <sheetFormatPr defaultRowHeight="15"/>
  <cols>
    <col min="1" max="1" width="3" customWidth="1"/>
    <col min="2" max="2" width="4.140625" bestFit="1" customWidth="1"/>
    <col min="3" max="3" width="6.28515625" bestFit="1" customWidth="1"/>
    <col min="4" max="4" width="11.5703125" customWidth="1"/>
    <col min="5" max="5" width="16.42578125" bestFit="1" customWidth="1"/>
    <col min="6" max="6" width="72.42578125" bestFit="1" customWidth="1"/>
    <col min="7" max="7" width="65" bestFit="1" customWidth="1"/>
    <col min="8" max="8" width="11.5703125" style="10" bestFit="1" customWidth="1"/>
    <col min="9" max="9" width="12.28515625" bestFit="1" customWidth="1"/>
    <col min="10" max="10" width="17.85546875" bestFit="1" customWidth="1"/>
    <col min="11" max="11" width="12.28515625" bestFit="1" customWidth="1"/>
  </cols>
  <sheetData>
    <row r="1" spans="2:11">
      <c r="I1" s="15"/>
      <c r="J1" s="16"/>
      <c r="K1" s="16"/>
    </row>
    <row r="2" spans="2:11">
      <c r="B2" s="8" t="s">
        <v>5</v>
      </c>
      <c r="C2" s="8" t="s">
        <v>2</v>
      </c>
      <c r="D2" s="8" t="s">
        <v>3</v>
      </c>
      <c r="E2" s="8" t="s">
        <v>1</v>
      </c>
      <c r="F2" s="8" t="s">
        <v>12</v>
      </c>
      <c r="G2" s="8" t="s">
        <v>13</v>
      </c>
      <c r="H2" s="11" t="s">
        <v>4</v>
      </c>
      <c r="I2" s="8" t="s">
        <v>41</v>
      </c>
      <c r="J2" s="11" t="s">
        <v>178</v>
      </c>
      <c r="K2" s="1"/>
    </row>
    <row r="3" spans="2:11">
      <c r="B3">
        <v>1</v>
      </c>
      <c r="C3" t="str">
        <f>VLOOKUP(B3,Ticker!$B:$E,3,FALSE)</f>
        <v>AAPL</v>
      </c>
      <c r="D3" t="str">
        <f>VLOOKUP(B3,Ticker!$B:$E,4,FALSE)</f>
        <v>Apple Inc.</v>
      </c>
      <c r="E3" s="5">
        <v>44464</v>
      </c>
      <c r="F3" s="6" t="s">
        <v>0</v>
      </c>
      <c r="H3" s="12">
        <v>94680</v>
      </c>
      <c r="I3" s="9" t="s">
        <v>43</v>
      </c>
      <c r="J3" s="14">
        <f>H3*1000000</f>
        <v>94680000000</v>
      </c>
      <c r="K3" s="2"/>
    </row>
    <row r="4" spans="2:11">
      <c r="B4">
        <v>1</v>
      </c>
      <c r="C4" t="str">
        <f>VLOOKUP(B4,Ticker!$B:$E,3,FALSE)</f>
        <v>AAPL</v>
      </c>
      <c r="D4" t="str">
        <f>VLOOKUP(B4,Ticker!$B:$E,4,FALSE)</f>
        <v>Apple Inc.</v>
      </c>
      <c r="E4" s="5">
        <v>44464</v>
      </c>
      <c r="F4" s="7" t="s">
        <v>14</v>
      </c>
      <c r="I4" s="9" t="s">
        <v>43</v>
      </c>
      <c r="J4" s="14">
        <f t="shared" ref="J4:J17" si="0">H4*1000000</f>
        <v>0</v>
      </c>
      <c r="K4" s="3"/>
    </row>
    <row r="5" spans="2:11">
      <c r="B5">
        <v>1</v>
      </c>
      <c r="C5" t="str">
        <f>VLOOKUP(B5,Ticker!$B:$E,3,FALSE)</f>
        <v>AAPL</v>
      </c>
      <c r="D5" t="str">
        <f>VLOOKUP(B5,Ticker!$B:$E,4,FALSE)</f>
        <v>Apple Inc.</v>
      </c>
      <c r="E5" s="5">
        <v>44464</v>
      </c>
      <c r="F5" s="6" t="s">
        <v>15</v>
      </c>
      <c r="G5" t="str">
        <f>F5</f>
        <v>Depreciation and amortization</v>
      </c>
      <c r="H5" s="12">
        <v>11284</v>
      </c>
      <c r="I5" s="9" t="s">
        <v>43</v>
      </c>
      <c r="J5" s="14">
        <f t="shared" si="0"/>
        <v>11284000000</v>
      </c>
    </row>
    <row r="6" spans="2:11">
      <c r="B6">
        <v>1</v>
      </c>
      <c r="C6" t="str">
        <f>VLOOKUP(B6,Ticker!$B:$E,3,FALSE)</f>
        <v>AAPL</v>
      </c>
      <c r="D6" t="str">
        <f>VLOOKUP(B6,Ticker!$B:$E,4,FALSE)</f>
        <v>Apple Inc.</v>
      </c>
      <c r="E6" s="5">
        <v>44464</v>
      </c>
      <c r="F6" s="6" t="s">
        <v>16</v>
      </c>
      <c r="G6" t="str">
        <f t="shared" ref="G6:G17" si="1">F6</f>
        <v>Share-based compensation expense</v>
      </c>
      <c r="H6" s="12">
        <v>7906</v>
      </c>
      <c r="I6" s="9" t="s">
        <v>43</v>
      </c>
      <c r="J6" s="14">
        <f t="shared" si="0"/>
        <v>7906000000</v>
      </c>
    </row>
    <row r="7" spans="2:11">
      <c r="B7">
        <v>1</v>
      </c>
      <c r="C7" t="str">
        <f>VLOOKUP(B7,Ticker!$B:$E,3,FALSE)</f>
        <v>AAPL</v>
      </c>
      <c r="D7" t="str">
        <f>VLOOKUP(B7,Ticker!$B:$E,4,FALSE)</f>
        <v>Apple Inc.</v>
      </c>
      <c r="E7" s="5">
        <v>44464</v>
      </c>
      <c r="F7" s="6" t="s">
        <v>17</v>
      </c>
      <c r="G7" t="str">
        <f t="shared" si="1"/>
        <v>Deferred income tax benefit</v>
      </c>
      <c r="H7" s="12">
        <v>-4774</v>
      </c>
      <c r="I7" s="9" t="s">
        <v>43</v>
      </c>
      <c r="J7" s="14">
        <f t="shared" si="0"/>
        <v>-4774000000</v>
      </c>
    </row>
    <row r="8" spans="2:11">
      <c r="B8">
        <v>1</v>
      </c>
      <c r="C8" t="str">
        <f>VLOOKUP(B8,Ticker!$B:$E,3,FALSE)</f>
        <v>AAPL</v>
      </c>
      <c r="D8" t="str">
        <f>VLOOKUP(B8,Ticker!$B:$E,4,FALSE)</f>
        <v>Apple Inc.</v>
      </c>
      <c r="E8" s="5">
        <v>44464</v>
      </c>
      <c r="F8" s="6" t="s">
        <v>18</v>
      </c>
      <c r="G8" t="str">
        <f t="shared" si="1"/>
        <v>Other</v>
      </c>
      <c r="H8" s="12">
        <v>-147</v>
      </c>
      <c r="I8" s="9" t="s">
        <v>43</v>
      </c>
      <c r="J8" s="14">
        <f t="shared" si="0"/>
        <v>-147000000</v>
      </c>
    </row>
    <row r="9" spans="2:11">
      <c r="B9">
        <v>1</v>
      </c>
      <c r="C9" t="str">
        <f>VLOOKUP(B9,Ticker!$B:$E,3,FALSE)</f>
        <v>AAPL</v>
      </c>
      <c r="D9" t="str">
        <f>VLOOKUP(B9,Ticker!$B:$E,4,FALSE)</f>
        <v>Apple Inc.</v>
      </c>
      <c r="E9" s="5">
        <v>44464</v>
      </c>
      <c r="F9" s="7" t="s">
        <v>19</v>
      </c>
      <c r="I9" s="9" t="s">
        <v>43</v>
      </c>
      <c r="J9" s="14">
        <f t="shared" si="0"/>
        <v>0</v>
      </c>
    </row>
    <row r="10" spans="2:11">
      <c r="B10">
        <v>1</v>
      </c>
      <c r="C10" t="str">
        <f>VLOOKUP(B10,Ticker!$B:$E,3,FALSE)</f>
        <v>AAPL</v>
      </c>
      <c r="D10" t="str">
        <f>VLOOKUP(B10,Ticker!$B:$E,4,FALSE)</f>
        <v>Apple Inc.</v>
      </c>
      <c r="E10" s="5">
        <v>44464</v>
      </c>
      <c r="F10" s="6" t="s">
        <v>20</v>
      </c>
      <c r="G10" t="str">
        <f t="shared" si="1"/>
        <v>Accounts receivable, net</v>
      </c>
      <c r="H10" s="12">
        <v>-10125</v>
      </c>
      <c r="I10" s="9" t="s">
        <v>43</v>
      </c>
      <c r="J10" s="14">
        <f t="shared" si="0"/>
        <v>-10125000000</v>
      </c>
    </row>
    <row r="11" spans="2:11">
      <c r="B11">
        <v>1</v>
      </c>
      <c r="C11" t="str">
        <f>VLOOKUP(B11,Ticker!$B:$E,3,FALSE)</f>
        <v>AAPL</v>
      </c>
      <c r="D11" t="str">
        <f>VLOOKUP(B11,Ticker!$B:$E,4,FALSE)</f>
        <v>Apple Inc.</v>
      </c>
      <c r="E11" s="5">
        <v>44464</v>
      </c>
      <c r="F11" s="6" t="s">
        <v>21</v>
      </c>
      <c r="G11" t="str">
        <f t="shared" si="1"/>
        <v>Inventories</v>
      </c>
      <c r="H11" s="12">
        <v>-2642</v>
      </c>
      <c r="I11" s="9" t="s">
        <v>43</v>
      </c>
      <c r="J11" s="14">
        <f t="shared" si="0"/>
        <v>-2642000000</v>
      </c>
    </row>
    <row r="12" spans="2:11">
      <c r="B12">
        <v>1</v>
      </c>
      <c r="C12" t="str">
        <f>VLOOKUP(B12,Ticker!$B:$E,3,FALSE)</f>
        <v>AAPL</v>
      </c>
      <c r="D12" t="str">
        <f>VLOOKUP(B12,Ticker!$B:$E,4,FALSE)</f>
        <v>Apple Inc.</v>
      </c>
      <c r="E12" s="5">
        <v>44464</v>
      </c>
      <c r="F12" s="6" t="s">
        <v>22</v>
      </c>
      <c r="G12" t="str">
        <f t="shared" si="1"/>
        <v>Vendor non-trade receivables</v>
      </c>
      <c r="H12" s="12">
        <v>-3903</v>
      </c>
      <c r="I12" s="9" t="s">
        <v>43</v>
      </c>
      <c r="J12" s="14">
        <f t="shared" si="0"/>
        <v>-3903000000</v>
      </c>
    </row>
    <row r="13" spans="2:11">
      <c r="B13">
        <v>1</v>
      </c>
      <c r="C13" t="str">
        <f>VLOOKUP(B13,Ticker!$B:$E,3,FALSE)</f>
        <v>AAPL</v>
      </c>
      <c r="D13" t="str">
        <f>VLOOKUP(B13,Ticker!$B:$E,4,FALSE)</f>
        <v>Apple Inc.</v>
      </c>
      <c r="E13" s="5">
        <v>44464</v>
      </c>
      <c r="F13" s="6" t="s">
        <v>23</v>
      </c>
      <c r="G13" t="str">
        <f t="shared" si="1"/>
        <v>Other current and non-current assets</v>
      </c>
      <c r="H13" s="12">
        <v>-8042</v>
      </c>
      <c r="I13" s="9" t="s">
        <v>43</v>
      </c>
      <c r="J13" s="14">
        <f t="shared" si="0"/>
        <v>-8042000000</v>
      </c>
    </row>
    <row r="14" spans="2:11">
      <c r="B14">
        <v>1</v>
      </c>
      <c r="C14" t="str">
        <f>VLOOKUP(B14,Ticker!$B:$E,3,FALSE)</f>
        <v>AAPL</v>
      </c>
      <c r="D14" t="str">
        <f>VLOOKUP(B14,Ticker!$B:$E,4,FALSE)</f>
        <v>Apple Inc.</v>
      </c>
      <c r="E14" s="5">
        <v>44464</v>
      </c>
      <c r="F14" s="6" t="s">
        <v>24</v>
      </c>
      <c r="G14" t="str">
        <f t="shared" si="1"/>
        <v>Accounts payable</v>
      </c>
      <c r="H14" s="12">
        <v>12326</v>
      </c>
      <c r="I14" s="9" t="s">
        <v>43</v>
      </c>
      <c r="J14" s="14">
        <f t="shared" si="0"/>
        <v>12326000000</v>
      </c>
    </row>
    <row r="15" spans="2:11">
      <c r="B15">
        <v>1</v>
      </c>
      <c r="C15" t="str">
        <f>VLOOKUP(B15,Ticker!$B:$E,3,FALSE)</f>
        <v>AAPL</v>
      </c>
      <c r="D15" t="str">
        <f>VLOOKUP(B15,Ticker!$B:$E,4,FALSE)</f>
        <v>Apple Inc.</v>
      </c>
      <c r="E15" s="5">
        <v>44464</v>
      </c>
      <c r="F15" s="6" t="s">
        <v>25</v>
      </c>
      <c r="G15" t="str">
        <f t="shared" si="1"/>
        <v>Deferred revenue</v>
      </c>
      <c r="H15" s="12">
        <v>1676</v>
      </c>
      <c r="I15" s="9" t="s">
        <v>43</v>
      </c>
      <c r="J15" s="14">
        <f t="shared" si="0"/>
        <v>1676000000</v>
      </c>
    </row>
    <row r="16" spans="2:11">
      <c r="B16">
        <v>1</v>
      </c>
      <c r="C16" t="str">
        <f>VLOOKUP(B16,Ticker!$B:$E,3,FALSE)</f>
        <v>AAPL</v>
      </c>
      <c r="D16" t="str">
        <f>VLOOKUP(B16,Ticker!$B:$E,4,FALSE)</f>
        <v>Apple Inc.</v>
      </c>
      <c r="E16" s="5">
        <v>44464</v>
      </c>
      <c r="F16" s="6" t="s">
        <v>26</v>
      </c>
      <c r="G16" t="str">
        <f t="shared" si="1"/>
        <v>Other current and non-current liabilities</v>
      </c>
      <c r="H16" s="12">
        <v>5799</v>
      </c>
      <c r="I16" s="9" t="s">
        <v>43</v>
      </c>
      <c r="J16" s="14">
        <f t="shared" si="0"/>
        <v>5799000000</v>
      </c>
    </row>
    <row r="17" spans="2:10">
      <c r="B17">
        <v>1</v>
      </c>
      <c r="C17" t="str">
        <f>VLOOKUP(B17,Ticker!$B:$E,3,FALSE)</f>
        <v>AAPL</v>
      </c>
      <c r="D17" t="str">
        <f>VLOOKUP(B17,Ticker!$B:$E,4,FALSE)</f>
        <v>Apple Inc.</v>
      </c>
      <c r="E17" s="5">
        <v>44464</v>
      </c>
      <c r="F17" s="7" t="s">
        <v>27</v>
      </c>
      <c r="G17" t="str">
        <f t="shared" si="1"/>
        <v>Cash generated by operating activities</v>
      </c>
      <c r="H17" s="12">
        <v>104038</v>
      </c>
      <c r="I17" s="9" t="s">
        <v>43</v>
      </c>
      <c r="J17" s="14">
        <f t="shared" si="0"/>
        <v>104038000000</v>
      </c>
    </row>
    <row r="18" spans="2:10">
      <c r="B18">
        <v>2</v>
      </c>
      <c r="C18" t="str">
        <f>VLOOKUP(B18,Ticker!$B:$E,3,FALSE)</f>
        <v>NFLX</v>
      </c>
      <c r="D18" t="str">
        <f>VLOOKUP(B18,Ticker!$B:$E,4,FALSE)</f>
        <v>Netflix, Inc.</v>
      </c>
      <c r="E18" s="5">
        <v>44926</v>
      </c>
      <c r="F18" t="s">
        <v>0</v>
      </c>
      <c r="H18" s="13">
        <v>4491924</v>
      </c>
      <c r="I18" t="s">
        <v>42</v>
      </c>
      <c r="J18" s="10">
        <f>H18*1000</f>
        <v>4491924000</v>
      </c>
    </row>
    <row r="19" spans="2:10">
      <c r="B19">
        <v>2</v>
      </c>
      <c r="C19" t="str">
        <f>VLOOKUP(B19,Ticker!$B:$E,3,FALSE)</f>
        <v>NFLX</v>
      </c>
      <c r="D19" t="str">
        <f>VLOOKUP(B19,Ticker!$B:$E,4,FALSE)</f>
        <v>Netflix, Inc.</v>
      </c>
      <c r="E19" s="5">
        <v>44926</v>
      </c>
      <c r="F19" s="4" t="s">
        <v>28</v>
      </c>
      <c r="H19" s="13"/>
      <c r="I19" t="s">
        <v>42</v>
      </c>
      <c r="J19" s="10">
        <f t="shared" ref="J19:J34" si="2">H19*1000</f>
        <v>0</v>
      </c>
    </row>
    <row r="20" spans="2:10">
      <c r="B20">
        <v>2</v>
      </c>
      <c r="C20" t="str">
        <f>VLOOKUP(B20,Ticker!$B:$E,3,FALSE)</f>
        <v>NFLX</v>
      </c>
      <c r="D20" t="str">
        <f>VLOOKUP(B20,Ticker!$B:$E,4,FALSE)</f>
        <v>Netflix, Inc.</v>
      </c>
      <c r="E20" s="5">
        <v>44926</v>
      </c>
      <c r="F20" t="s">
        <v>29</v>
      </c>
      <c r="G20" t="str">
        <f>F20</f>
        <v>Additions to content assets</v>
      </c>
      <c r="H20" s="13">
        <v>-16839038</v>
      </c>
      <c r="I20" t="s">
        <v>42</v>
      </c>
      <c r="J20" s="10">
        <f t="shared" si="2"/>
        <v>-16839038000</v>
      </c>
    </row>
    <row r="21" spans="2:10">
      <c r="B21">
        <v>2</v>
      </c>
      <c r="C21" t="str">
        <f>VLOOKUP(B21,Ticker!$B:$E,3,FALSE)</f>
        <v>NFLX</v>
      </c>
      <c r="D21" t="str">
        <f>VLOOKUP(B21,Ticker!$B:$E,4,FALSE)</f>
        <v>Netflix, Inc.</v>
      </c>
      <c r="E21" s="5">
        <v>44926</v>
      </c>
      <c r="F21" t="s">
        <v>30</v>
      </c>
      <c r="G21" t="str">
        <f t="shared" ref="G21:G33" si="3">F21</f>
        <v>Change in content liabilities</v>
      </c>
      <c r="H21" s="13">
        <v>179310</v>
      </c>
      <c r="I21" t="s">
        <v>42</v>
      </c>
      <c r="J21" s="10">
        <f t="shared" si="2"/>
        <v>179310000</v>
      </c>
    </row>
    <row r="22" spans="2:10">
      <c r="B22">
        <v>2</v>
      </c>
      <c r="C22" t="str">
        <f>VLOOKUP(B22,Ticker!$B:$E,3,FALSE)</f>
        <v>NFLX</v>
      </c>
      <c r="D22" t="str">
        <f>VLOOKUP(B22,Ticker!$B:$E,4,FALSE)</f>
        <v>Netflix, Inc.</v>
      </c>
      <c r="E22" s="5">
        <v>44926</v>
      </c>
      <c r="F22" t="s">
        <v>31</v>
      </c>
      <c r="G22" t="str">
        <f t="shared" si="3"/>
        <v>Amortization of content assets</v>
      </c>
      <c r="H22" s="13">
        <v>14026132</v>
      </c>
      <c r="I22" t="s">
        <v>42</v>
      </c>
      <c r="J22" s="10">
        <f t="shared" si="2"/>
        <v>14026132000</v>
      </c>
    </row>
    <row r="23" spans="2:10">
      <c r="B23">
        <v>2</v>
      </c>
      <c r="C23" t="str">
        <f>VLOOKUP(B23,Ticker!$B:$E,3,FALSE)</f>
        <v>NFLX</v>
      </c>
      <c r="D23" t="str">
        <f>VLOOKUP(B23,Ticker!$B:$E,4,FALSE)</f>
        <v>Netflix, Inc.</v>
      </c>
      <c r="E23" s="5">
        <v>44926</v>
      </c>
      <c r="F23" t="s">
        <v>32</v>
      </c>
      <c r="G23" t="str">
        <f t="shared" si="3"/>
        <v>Depreciation and amortization of property, equipment and intangibles</v>
      </c>
      <c r="H23" s="13">
        <v>336682</v>
      </c>
      <c r="I23" t="s">
        <v>42</v>
      </c>
      <c r="J23" s="10">
        <f t="shared" si="2"/>
        <v>336682000</v>
      </c>
    </row>
    <row r="24" spans="2:10">
      <c r="B24">
        <v>2</v>
      </c>
      <c r="C24" t="str">
        <f>VLOOKUP(B24,Ticker!$B:$E,3,FALSE)</f>
        <v>NFLX</v>
      </c>
      <c r="D24" t="str">
        <f>VLOOKUP(B24,Ticker!$B:$E,4,FALSE)</f>
        <v>Netflix, Inc.</v>
      </c>
      <c r="E24" s="5">
        <v>44926</v>
      </c>
      <c r="F24" t="s">
        <v>33</v>
      </c>
      <c r="G24" t="str">
        <f t="shared" si="3"/>
        <v>Stock-based compensation expense</v>
      </c>
      <c r="H24" s="13">
        <v>575452</v>
      </c>
      <c r="I24" t="s">
        <v>42</v>
      </c>
      <c r="J24" s="10">
        <f t="shared" si="2"/>
        <v>575452000</v>
      </c>
    </row>
    <row r="25" spans="2:10">
      <c r="B25">
        <v>2</v>
      </c>
      <c r="C25" t="str">
        <f>VLOOKUP(B25,Ticker!$B:$E,3,FALSE)</f>
        <v>NFLX</v>
      </c>
      <c r="D25" t="str">
        <f>VLOOKUP(B25,Ticker!$B:$E,4,FALSE)</f>
        <v>Netflix, Inc.</v>
      </c>
      <c r="E25" s="5">
        <v>44926</v>
      </c>
      <c r="F25" t="s">
        <v>34</v>
      </c>
      <c r="G25" t="str">
        <f t="shared" si="3"/>
        <v>Foreign currency remeasurement loss (gain) on debt</v>
      </c>
      <c r="H25" s="13">
        <v>-353111</v>
      </c>
      <c r="I25" t="s">
        <v>42</v>
      </c>
      <c r="J25" s="10">
        <f t="shared" si="2"/>
        <v>-353111000</v>
      </c>
    </row>
    <row r="26" spans="2:10">
      <c r="B26">
        <v>2</v>
      </c>
      <c r="C26" t="str">
        <f>VLOOKUP(B26,Ticker!$B:$E,3,FALSE)</f>
        <v>NFLX</v>
      </c>
      <c r="D26" t="str">
        <f>VLOOKUP(B26,Ticker!$B:$E,4,FALSE)</f>
        <v>Netflix, Inc.</v>
      </c>
      <c r="E26" s="5">
        <v>44926</v>
      </c>
      <c r="F26" t="s">
        <v>35</v>
      </c>
      <c r="G26" t="str">
        <f t="shared" si="3"/>
        <v>Other non-cash items</v>
      </c>
      <c r="H26" s="13">
        <v>533543</v>
      </c>
      <c r="I26" t="s">
        <v>42</v>
      </c>
      <c r="J26" s="10">
        <f t="shared" si="2"/>
        <v>533543000</v>
      </c>
    </row>
    <row r="27" spans="2:10">
      <c r="B27">
        <v>2</v>
      </c>
      <c r="C27" t="str">
        <f>VLOOKUP(B27,Ticker!$B:$E,3,FALSE)</f>
        <v>NFLX</v>
      </c>
      <c r="D27" t="str">
        <f>VLOOKUP(B27,Ticker!$B:$E,4,FALSE)</f>
        <v>Netflix, Inc.</v>
      </c>
      <c r="E27" s="5">
        <v>44926</v>
      </c>
      <c r="F27" t="s">
        <v>36</v>
      </c>
      <c r="G27" t="str">
        <f t="shared" si="3"/>
        <v>Deferred income taxes</v>
      </c>
      <c r="H27" s="13">
        <v>-166550</v>
      </c>
      <c r="I27" t="s">
        <v>42</v>
      </c>
      <c r="J27" s="10">
        <f t="shared" si="2"/>
        <v>-166550000</v>
      </c>
    </row>
    <row r="28" spans="2:10">
      <c r="B28">
        <v>2</v>
      </c>
      <c r="C28" t="str">
        <f>VLOOKUP(B28,Ticker!$B:$E,3,FALSE)</f>
        <v>NFLX</v>
      </c>
      <c r="D28" t="str">
        <f>VLOOKUP(B28,Ticker!$B:$E,4,FALSE)</f>
        <v>Netflix, Inc.</v>
      </c>
      <c r="E28" s="5">
        <v>44926</v>
      </c>
      <c r="F28" s="4" t="s">
        <v>19</v>
      </c>
      <c r="H28" s="13"/>
      <c r="I28" t="s">
        <v>42</v>
      </c>
      <c r="J28" s="10">
        <f t="shared" si="2"/>
        <v>0</v>
      </c>
    </row>
    <row r="29" spans="2:10">
      <c r="B29">
        <v>2</v>
      </c>
      <c r="C29" t="str">
        <f>VLOOKUP(B29,Ticker!$B:$E,3,FALSE)</f>
        <v>NFLX</v>
      </c>
      <c r="D29" t="str">
        <f>VLOOKUP(B29,Ticker!$B:$E,4,FALSE)</f>
        <v>Netflix, Inc.</v>
      </c>
      <c r="E29" s="5">
        <v>44926</v>
      </c>
      <c r="F29" t="s">
        <v>37</v>
      </c>
      <c r="G29" t="str">
        <f t="shared" si="3"/>
        <v>Other current assets</v>
      </c>
      <c r="H29" s="13">
        <v>-353834</v>
      </c>
      <c r="I29" t="s">
        <v>42</v>
      </c>
      <c r="J29" s="10">
        <f t="shared" si="2"/>
        <v>-353834000</v>
      </c>
    </row>
    <row r="30" spans="2:10">
      <c r="B30">
        <v>2</v>
      </c>
      <c r="C30" t="str">
        <f>VLOOKUP(B30,Ticker!$B:$E,3,FALSE)</f>
        <v>NFLX</v>
      </c>
      <c r="D30" t="str">
        <f>VLOOKUP(B30,Ticker!$B:$E,4,FALSE)</f>
        <v>Netflix, Inc.</v>
      </c>
      <c r="E30" s="5">
        <v>44926</v>
      </c>
      <c r="F30" t="s">
        <v>24</v>
      </c>
      <c r="G30" t="str">
        <f t="shared" si="3"/>
        <v>Accounts payable</v>
      </c>
      <c r="H30" s="13">
        <v>-158543</v>
      </c>
      <c r="I30" t="s">
        <v>42</v>
      </c>
      <c r="J30" s="10">
        <f t="shared" si="2"/>
        <v>-158543000</v>
      </c>
    </row>
    <row r="31" spans="2:10">
      <c r="B31">
        <v>2</v>
      </c>
      <c r="C31" t="str">
        <f>VLOOKUP(B31,Ticker!$B:$E,3,FALSE)</f>
        <v>NFLX</v>
      </c>
      <c r="D31" t="str">
        <f>VLOOKUP(B31,Ticker!$B:$E,4,FALSE)</f>
        <v>Netflix, Inc.</v>
      </c>
      <c r="E31" s="5">
        <v>44926</v>
      </c>
      <c r="F31" t="s">
        <v>38</v>
      </c>
      <c r="G31" t="str">
        <f t="shared" si="3"/>
        <v>Accrued expenses and other liabilities</v>
      </c>
      <c r="H31" s="13">
        <v>-55513</v>
      </c>
      <c r="I31" t="s">
        <v>42</v>
      </c>
      <c r="J31" s="10">
        <f t="shared" si="2"/>
        <v>-55513000</v>
      </c>
    </row>
    <row r="32" spans="2:10">
      <c r="B32">
        <v>2</v>
      </c>
      <c r="C32" t="str">
        <f>VLOOKUP(B32,Ticker!$B:$E,3,FALSE)</f>
        <v>NFLX</v>
      </c>
      <c r="D32" t="str">
        <f>VLOOKUP(B32,Ticker!$B:$E,4,FALSE)</f>
        <v>Netflix, Inc.</v>
      </c>
      <c r="E32" s="5">
        <v>44926</v>
      </c>
      <c r="F32" t="s">
        <v>25</v>
      </c>
      <c r="G32" t="str">
        <f t="shared" si="3"/>
        <v>Deferred revenue</v>
      </c>
      <c r="H32" s="13">
        <v>27356</v>
      </c>
      <c r="I32" t="s">
        <v>42</v>
      </c>
      <c r="J32" s="10">
        <f t="shared" si="2"/>
        <v>27356000</v>
      </c>
    </row>
    <row r="33" spans="2:10">
      <c r="B33">
        <v>2</v>
      </c>
      <c r="C33" t="str">
        <f>VLOOKUP(B33,Ticker!$B:$E,3,FALSE)</f>
        <v>NFLX</v>
      </c>
      <c r="D33" t="str">
        <f>VLOOKUP(B33,Ticker!$B:$E,4,FALSE)</f>
        <v>Netflix, Inc.</v>
      </c>
      <c r="E33" s="5">
        <v>44926</v>
      </c>
      <c r="F33" t="s">
        <v>39</v>
      </c>
      <c r="G33" t="str">
        <f t="shared" si="3"/>
        <v>Other non-current assets and liabilities</v>
      </c>
      <c r="H33" s="13">
        <v>-217553</v>
      </c>
      <c r="I33" t="s">
        <v>42</v>
      </c>
      <c r="J33" s="10">
        <f t="shared" si="2"/>
        <v>-217553000</v>
      </c>
    </row>
    <row r="34" spans="2:10">
      <c r="B34">
        <v>2</v>
      </c>
      <c r="C34" t="str">
        <f>VLOOKUP(B34,Ticker!$B:$E,3,FALSE)</f>
        <v>NFLX</v>
      </c>
      <c r="D34" t="str">
        <f>VLOOKUP(B34,Ticker!$B:$E,4,FALSE)</f>
        <v>Netflix, Inc.</v>
      </c>
      <c r="E34" s="5">
        <v>44926</v>
      </c>
      <c r="F34" s="4" t="s">
        <v>40</v>
      </c>
      <c r="H34" s="13">
        <v>2026257</v>
      </c>
      <c r="I34" t="s">
        <v>42</v>
      </c>
      <c r="J34" s="10">
        <f t="shared" si="2"/>
        <v>2026257000</v>
      </c>
    </row>
    <row r="35" spans="2:10">
      <c r="B35">
        <v>3</v>
      </c>
      <c r="C35" t="str">
        <f>VLOOKUP(B35,Ticker!$B:$E,3,FALSE)</f>
        <v>MMM</v>
      </c>
      <c r="D35" t="str">
        <f>VLOOKUP(B35,Ticker!$B:$E,4,FALSE)</f>
        <v>3M</v>
      </c>
      <c r="E35" s="5">
        <v>44926</v>
      </c>
      <c r="F35" t="s">
        <v>51</v>
      </c>
      <c r="H35" s="10">
        <v>5791</v>
      </c>
      <c r="I35" t="s">
        <v>43</v>
      </c>
      <c r="J35" s="14">
        <f t="shared" ref="J35:J98" si="4">H35*1000000</f>
        <v>5791000000</v>
      </c>
    </row>
    <row r="36" spans="2:10">
      <c r="B36">
        <v>3</v>
      </c>
      <c r="C36" t="str">
        <f>VLOOKUP(B36,Ticker!$B:$E,3,FALSE)</f>
        <v>MMM</v>
      </c>
      <c r="D36" t="str">
        <f>VLOOKUP(B36,Ticker!$B:$E,4,FALSE)</f>
        <v>3M</v>
      </c>
      <c r="E36" s="5">
        <v>44926</v>
      </c>
      <c r="F36" s="4" t="s">
        <v>52</v>
      </c>
      <c r="I36" t="s">
        <v>43</v>
      </c>
      <c r="J36" s="14">
        <f t="shared" si="4"/>
        <v>0</v>
      </c>
    </row>
    <row r="37" spans="2:10">
      <c r="B37">
        <v>3</v>
      </c>
      <c r="C37" t="str">
        <f>VLOOKUP(B37,Ticker!$B:$E,3,FALSE)</f>
        <v>MMM</v>
      </c>
      <c r="D37" t="str">
        <f>VLOOKUP(B37,Ticker!$B:$E,4,FALSE)</f>
        <v>3M</v>
      </c>
      <c r="E37" s="5">
        <v>44926</v>
      </c>
      <c r="F37" t="s">
        <v>15</v>
      </c>
      <c r="G37" t="str">
        <f>F37</f>
        <v>Depreciation and amortization</v>
      </c>
      <c r="H37" s="10">
        <v>1831</v>
      </c>
      <c r="I37" t="s">
        <v>43</v>
      </c>
      <c r="J37" s="14">
        <f t="shared" si="4"/>
        <v>1831000000</v>
      </c>
    </row>
    <row r="38" spans="2:10">
      <c r="B38">
        <v>3</v>
      </c>
      <c r="C38" t="str">
        <f>VLOOKUP(B38,Ticker!$B:$E,3,FALSE)</f>
        <v>MMM</v>
      </c>
      <c r="D38" t="str">
        <f>VLOOKUP(B38,Ticker!$B:$E,4,FALSE)</f>
        <v>3M</v>
      </c>
      <c r="E38" s="5">
        <v>44926</v>
      </c>
      <c r="F38" t="s">
        <v>53</v>
      </c>
      <c r="G38" t="str">
        <f t="shared" ref="G38:G44" si="5">F38</f>
        <v>Long-lived and indefinite-lived asset impairment expense</v>
      </c>
      <c r="H38" s="10">
        <v>618</v>
      </c>
      <c r="I38" t="s">
        <v>43</v>
      </c>
      <c r="J38" s="14">
        <f t="shared" si="4"/>
        <v>618000000</v>
      </c>
    </row>
    <row r="39" spans="2:10">
      <c r="B39">
        <v>3</v>
      </c>
      <c r="C39" t="str">
        <f>VLOOKUP(B39,Ticker!$B:$E,3,FALSE)</f>
        <v>MMM</v>
      </c>
      <c r="D39" t="str">
        <f>VLOOKUP(B39,Ticker!$B:$E,4,FALSE)</f>
        <v>3M</v>
      </c>
      <c r="E39" s="5">
        <v>44926</v>
      </c>
      <c r="F39" t="s">
        <v>54</v>
      </c>
      <c r="G39" t="str">
        <f t="shared" si="5"/>
        <v>Goodwill impairment expense</v>
      </c>
      <c r="H39" s="10">
        <v>271</v>
      </c>
      <c r="I39" t="s">
        <v>43</v>
      </c>
      <c r="J39" s="14">
        <f t="shared" si="4"/>
        <v>271000000</v>
      </c>
    </row>
    <row r="40" spans="2:10">
      <c r="B40">
        <v>3</v>
      </c>
      <c r="C40" t="str">
        <f>VLOOKUP(B40,Ticker!$B:$E,3,FALSE)</f>
        <v>MMM</v>
      </c>
      <c r="D40" t="str">
        <f>VLOOKUP(B40,Ticker!$B:$E,4,FALSE)</f>
        <v>3M</v>
      </c>
      <c r="E40" s="5">
        <v>44926</v>
      </c>
      <c r="F40" t="s">
        <v>55</v>
      </c>
      <c r="G40" t="str">
        <f t="shared" si="5"/>
        <v>Company pension and postretirement contributions</v>
      </c>
      <c r="H40" s="10">
        <v>-158</v>
      </c>
      <c r="I40" t="s">
        <v>43</v>
      </c>
      <c r="J40" s="14">
        <f t="shared" si="4"/>
        <v>-158000000</v>
      </c>
    </row>
    <row r="41" spans="2:10">
      <c r="B41">
        <v>3</v>
      </c>
      <c r="C41" t="str">
        <f>VLOOKUP(B41,Ticker!$B:$E,3,FALSE)</f>
        <v>MMM</v>
      </c>
      <c r="D41" t="str">
        <f>VLOOKUP(B41,Ticker!$B:$E,4,FALSE)</f>
        <v>3M</v>
      </c>
      <c r="E41" s="5">
        <v>44926</v>
      </c>
      <c r="F41" t="s">
        <v>56</v>
      </c>
      <c r="G41" t="str">
        <f t="shared" si="5"/>
        <v>Company pension and postretirement expense</v>
      </c>
      <c r="H41" s="10">
        <v>178</v>
      </c>
      <c r="I41" t="s">
        <v>43</v>
      </c>
      <c r="J41" s="14">
        <f t="shared" si="4"/>
        <v>178000000</v>
      </c>
    </row>
    <row r="42" spans="2:10">
      <c r="B42">
        <v>3</v>
      </c>
      <c r="C42" t="str">
        <f>VLOOKUP(B42,Ticker!$B:$E,3,FALSE)</f>
        <v>MMM</v>
      </c>
      <c r="D42" t="str">
        <f>VLOOKUP(B42,Ticker!$B:$E,4,FALSE)</f>
        <v>3M</v>
      </c>
      <c r="E42" s="5">
        <v>44926</v>
      </c>
      <c r="F42" t="s">
        <v>33</v>
      </c>
      <c r="G42" t="str">
        <f t="shared" si="5"/>
        <v>Stock-based compensation expense</v>
      </c>
      <c r="H42" s="10">
        <v>263</v>
      </c>
      <c r="I42" t="s">
        <v>43</v>
      </c>
      <c r="J42" s="14">
        <f t="shared" si="4"/>
        <v>263000000</v>
      </c>
    </row>
    <row r="43" spans="2:10">
      <c r="B43">
        <v>3</v>
      </c>
      <c r="C43" t="str">
        <f>VLOOKUP(B43,Ticker!$B:$E,3,FALSE)</f>
        <v>MMM</v>
      </c>
      <c r="D43" t="str">
        <f>VLOOKUP(B43,Ticker!$B:$E,4,FALSE)</f>
        <v>3M</v>
      </c>
      <c r="E43" s="5">
        <v>44926</v>
      </c>
      <c r="F43" t="s">
        <v>57</v>
      </c>
      <c r="G43" t="str">
        <f t="shared" si="5"/>
        <v>Gain on business divestitures</v>
      </c>
      <c r="H43" s="10">
        <v>-2724</v>
      </c>
      <c r="I43" t="s">
        <v>43</v>
      </c>
      <c r="J43" s="14">
        <f t="shared" si="4"/>
        <v>-2724000000</v>
      </c>
    </row>
    <row r="44" spans="2:10">
      <c r="B44">
        <v>3</v>
      </c>
      <c r="C44" t="str">
        <f>VLOOKUP(B44,Ticker!$B:$E,3,FALSE)</f>
        <v>MMM</v>
      </c>
      <c r="D44" t="str">
        <f>VLOOKUP(B44,Ticker!$B:$E,4,FALSE)</f>
        <v>3M</v>
      </c>
      <c r="E44" s="5">
        <v>44926</v>
      </c>
      <c r="F44" t="s">
        <v>36</v>
      </c>
      <c r="G44" t="str">
        <f t="shared" si="5"/>
        <v>Deferred income taxes</v>
      </c>
      <c r="H44" s="10">
        <v>-663</v>
      </c>
      <c r="I44" t="s">
        <v>43</v>
      </c>
      <c r="J44" s="14">
        <f t="shared" si="4"/>
        <v>-663000000</v>
      </c>
    </row>
    <row r="45" spans="2:10">
      <c r="B45">
        <v>3</v>
      </c>
      <c r="C45" t="str">
        <f>VLOOKUP(B45,Ticker!$B:$E,3,FALSE)</f>
        <v>MMM</v>
      </c>
      <c r="D45" t="str">
        <f>VLOOKUP(B45,Ticker!$B:$E,4,FALSE)</f>
        <v>3M</v>
      </c>
      <c r="E45" s="5">
        <v>44926</v>
      </c>
      <c r="F45" s="4" t="s">
        <v>58</v>
      </c>
      <c r="I45" t="s">
        <v>43</v>
      </c>
      <c r="J45" s="14">
        <f t="shared" si="4"/>
        <v>0</v>
      </c>
    </row>
    <row r="46" spans="2:10">
      <c r="B46">
        <v>3</v>
      </c>
      <c r="C46" t="str">
        <f>VLOOKUP(B46,Ticker!$B:$E,3,FALSE)</f>
        <v>MMM</v>
      </c>
      <c r="D46" t="str">
        <f>VLOOKUP(B46,Ticker!$B:$E,4,FALSE)</f>
        <v>3M</v>
      </c>
      <c r="E46" s="5">
        <v>44926</v>
      </c>
      <c r="F46" t="s">
        <v>59</v>
      </c>
      <c r="G46" t="str">
        <f t="shared" ref="G46:G50" si="6">F46</f>
        <v>Accounts receivable</v>
      </c>
      <c r="H46" s="10">
        <v>-105</v>
      </c>
      <c r="I46" t="s">
        <v>43</v>
      </c>
      <c r="J46" s="14">
        <f t="shared" si="4"/>
        <v>-105000000</v>
      </c>
    </row>
    <row r="47" spans="2:10">
      <c r="B47">
        <v>3</v>
      </c>
      <c r="C47" t="str">
        <f>VLOOKUP(B47,Ticker!$B:$E,3,FALSE)</f>
        <v>MMM</v>
      </c>
      <c r="D47" t="str">
        <f>VLOOKUP(B47,Ticker!$B:$E,4,FALSE)</f>
        <v>3M</v>
      </c>
      <c r="E47" s="5">
        <v>44926</v>
      </c>
      <c r="F47" t="s">
        <v>21</v>
      </c>
      <c r="G47" t="str">
        <f t="shared" si="6"/>
        <v>Inventories</v>
      </c>
      <c r="H47" s="10">
        <v>-629</v>
      </c>
      <c r="I47" t="s">
        <v>43</v>
      </c>
      <c r="J47" s="14">
        <f t="shared" si="4"/>
        <v>-629000000</v>
      </c>
    </row>
    <row r="48" spans="2:10">
      <c r="B48">
        <v>3</v>
      </c>
      <c r="C48" t="str">
        <f>VLOOKUP(B48,Ticker!$B:$E,3,FALSE)</f>
        <v>MMM</v>
      </c>
      <c r="D48" t="str">
        <f>VLOOKUP(B48,Ticker!$B:$E,4,FALSE)</f>
        <v>3M</v>
      </c>
      <c r="E48" s="5">
        <v>44926</v>
      </c>
      <c r="F48" t="s">
        <v>24</v>
      </c>
      <c r="G48" t="str">
        <f t="shared" si="6"/>
        <v>Accounts payable</v>
      </c>
      <c r="H48" s="10">
        <v>111</v>
      </c>
      <c r="I48" t="s">
        <v>43</v>
      </c>
      <c r="J48" s="14">
        <f t="shared" si="4"/>
        <v>111000000</v>
      </c>
    </row>
    <row r="49" spans="2:10">
      <c r="B49">
        <v>3</v>
      </c>
      <c r="C49" t="str">
        <f>VLOOKUP(B49,Ticker!$B:$E,3,FALSE)</f>
        <v>MMM</v>
      </c>
      <c r="D49" t="str">
        <f>VLOOKUP(B49,Ticker!$B:$E,4,FALSE)</f>
        <v>3M</v>
      </c>
      <c r="E49" s="5">
        <v>44926</v>
      </c>
      <c r="F49" t="s">
        <v>60</v>
      </c>
      <c r="G49" t="str">
        <f t="shared" si="6"/>
        <v>Accrued income taxes (current and long-term)</v>
      </c>
      <c r="H49" s="10">
        <v>-47</v>
      </c>
      <c r="I49" t="s">
        <v>43</v>
      </c>
      <c r="J49" s="14">
        <f t="shared" si="4"/>
        <v>-47000000</v>
      </c>
    </row>
    <row r="50" spans="2:10">
      <c r="B50">
        <v>3</v>
      </c>
      <c r="C50" t="str">
        <f>VLOOKUP(B50,Ticker!$B:$E,3,FALSE)</f>
        <v>MMM</v>
      </c>
      <c r="D50" t="str">
        <f>VLOOKUP(B50,Ticker!$B:$E,4,FALSE)</f>
        <v>3M</v>
      </c>
      <c r="E50" s="5">
        <v>44926</v>
      </c>
      <c r="F50" t="s">
        <v>61</v>
      </c>
      <c r="G50" t="str">
        <f t="shared" si="6"/>
        <v>Other — net</v>
      </c>
      <c r="H50" s="10">
        <v>854</v>
      </c>
      <c r="I50" t="s">
        <v>43</v>
      </c>
      <c r="J50" s="14">
        <f t="shared" si="4"/>
        <v>854000000</v>
      </c>
    </row>
    <row r="51" spans="2:10">
      <c r="B51">
        <v>4</v>
      </c>
      <c r="C51" t="str">
        <f>VLOOKUP(B51,Ticker!$B:$E,3,FALSE)</f>
        <v>DAL</v>
      </c>
      <c r="D51" t="str">
        <f>VLOOKUP(B51,Ticker!$B:$E,4,FALSE)</f>
        <v>Delta Air Lines, Inc.</v>
      </c>
      <c r="E51" s="5">
        <v>44926</v>
      </c>
      <c r="F51" t="s">
        <v>65</v>
      </c>
      <c r="H51" s="10">
        <v>1318</v>
      </c>
      <c r="I51" t="s">
        <v>43</v>
      </c>
      <c r="J51" s="14">
        <f t="shared" si="4"/>
        <v>1318000000</v>
      </c>
    </row>
    <row r="52" spans="2:10">
      <c r="B52">
        <v>4</v>
      </c>
      <c r="C52" t="str">
        <f>VLOOKUP(B52,Ticker!$B:$E,3,FALSE)</f>
        <v>DAL</v>
      </c>
      <c r="D52" t="str">
        <f>VLOOKUP(B52,Ticker!$B:$E,4,FALSE)</f>
        <v>Delta Air Lines, Inc.</v>
      </c>
      <c r="E52" s="5">
        <v>44926</v>
      </c>
      <c r="F52" s="4" t="s">
        <v>28</v>
      </c>
      <c r="I52" t="s">
        <v>43</v>
      </c>
      <c r="J52" s="14">
        <f t="shared" si="4"/>
        <v>0</v>
      </c>
    </row>
    <row r="53" spans="2:10">
      <c r="B53">
        <v>4</v>
      </c>
      <c r="C53" t="str">
        <f>VLOOKUP(B53,Ticker!$B:$E,3,FALSE)</f>
        <v>DAL</v>
      </c>
      <c r="D53" t="str">
        <f>VLOOKUP(B53,Ticker!$B:$E,4,FALSE)</f>
        <v>Delta Air Lines, Inc.</v>
      </c>
      <c r="E53" s="5">
        <v>44926</v>
      </c>
      <c r="F53" t="s">
        <v>66</v>
      </c>
      <c r="G53" t="str">
        <f>F53</f>
        <v>Restructuring charges</v>
      </c>
      <c r="H53" s="10">
        <v>-46</v>
      </c>
      <c r="I53" t="s">
        <v>43</v>
      </c>
      <c r="J53" s="14">
        <f t="shared" si="4"/>
        <v>-46000000</v>
      </c>
    </row>
    <row r="54" spans="2:10">
      <c r="B54">
        <v>4</v>
      </c>
      <c r="C54" t="str">
        <f>VLOOKUP(B54,Ticker!$B:$E,3,FALSE)</f>
        <v>DAL</v>
      </c>
      <c r="D54" t="str">
        <f>VLOOKUP(B54,Ticker!$B:$E,4,FALSE)</f>
        <v>Delta Air Lines, Inc.</v>
      </c>
      <c r="E54" s="5">
        <v>44926</v>
      </c>
      <c r="F54" t="s">
        <v>15</v>
      </c>
      <c r="G54" t="str">
        <f t="shared" ref="G54:G58" si="7">F54</f>
        <v>Depreciation and amortization</v>
      </c>
      <c r="H54" s="10">
        <v>2107</v>
      </c>
      <c r="I54" t="s">
        <v>43</v>
      </c>
      <c r="J54" s="14">
        <f t="shared" si="4"/>
        <v>2107000000</v>
      </c>
    </row>
    <row r="55" spans="2:10">
      <c r="B55">
        <v>4</v>
      </c>
      <c r="C55" t="str">
        <f>VLOOKUP(B55,Ticker!$B:$E,3,FALSE)</f>
        <v>DAL</v>
      </c>
      <c r="D55" t="str">
        <f>VLOOKUP(B55,Ticker!$B:$E,4,FALSE)</f>
        <v>Delta Air Lines, Inc.</v>
      </c>
      <c r="E55" s="5">
        <v>44926</v>
      </c>
      <c r="F55" t="s">
        <v>36</v>
      </c>
      <c r="G55" t="str">
        <f t="shared" si="7"/>
        <v>Deferred income taxes</v>
      </c>
      <c r="H55" s="10">
        <v>591</v>
      </c>
      <c r="I55" t="s">
        <v>43</v>
      </c>
      <c r="J55" s="14">
        <f t="shared" si="4"/>
        <v>591000000</v>
      </c>
    </row>
    <row r="56" spans="2:10">
      <c r="B56">
        <v>4</v>
      </c>
      <c r="C56" t="str">
        <f>VLOOKUP(B56,Ticker!$B:$E,3,FALSE)</f>
        <v>DAL</v>
      </c>
      <c r="D56" t="str">
        <f>VLOOKUP(B56,Ticker!$B:$E,4,FALSE)</f>
        <v>Delta Air Lines, Inc.</v>
      </c>
      <c r="E56" s="5">
        <v>44926</v>
      </c>
      <c r="F56" t="s">
        <v>67</v>
      </c>
      <c r="G56" t="str">
        <f t="shared" si="7"/>
        <v>(Gain)/loss on fair value investments</v>
      </c>
      <c r="H56" s="10">
        <v>874</v>
      </c>
      <c r="I56" t="s">
        <v>43</v>
      </c>
      <c r="J56" s="14">
        <f t="shared" si="4"/>
        <v>874000000</v>
      </c>
    </row>
    <row r="57" spans="2:10">
      <c r="B57">
        <v>4</v>
      </c>
      <c r="C57" t="str">
        <f>VLOOKUP(B57,Ticker!$B:$E,3,FALSE)</f>
        <v>DAL</v>
      </c>
      <c r="D57" t="str">
        <f>VLOOKUP(B57,Ticker!$B:$E,4,FALSE)</f>
        <v>Delta Air Lines, Inc.</v>
      </c>
      <c r="E57" s="5">
        <v>44926</v>
      </c>
      <c r="F57" t="s">
        <v>68</v>
      </c>
      <c r="G57" t="str">
        <f t="shared" si="7"/>
        <v>Pension, postretirement and postemployment payments (greater)/less than expense</v>
      </c>
      <c r="H57" s="10">
        <v>-453</v>
      </c>
      <c r="I57" t="s">
        <v>43</v>
      </c>
      <c r="J57" s="14">
        <f t="shared" si="4"/>
        <v>-453000000</v>
      </c>
    </row>
    <row r="58" spans="2:10">
      <c r="B58">
        <v>4</v>
      </c>
      <c r="C58" t="str">
        <f>VLOOKUP(B58,Ticker!$B:$E,3,FALSE)</f>
        <v>DAL</v>
      </c>
      <c r="D58" t="str">
        <f>VLOOKUP(B58,Ticker!$B:$E,4,FALSE)</f>
        <v>Delta Air Lines, Inc.</v>
      </c>
      <c r="E58" s="5">
        <v>44926</v>
      </c>
      <c r="F58" t="s">
        <v>69</v>
      </c>
      <c r="G58" t="str">
        <f t="shared" si="7"/>
        <v>Impairments and equity method results</v>
      </c>
      <c r="H58" s="10">
        <v>20</v>
      </c>
      <c r="I58" t="s">
        <v>43</v>
      </c>
      <c r="J58" s="14">
        <f t="shared" si="4"/>
        <v>20000000</v>
      </c>
    </row>
    <row r="59" spans="2:10">
      <c r="B59">
        <v>4</v>
      </c>
      <c r="C59" t="str">
        <f>VLOOKUP(B59,Ticker!$B:$E,3,FALSE)</f>
        <v>DAL</v>
      </c>
      <c r="D59" t="str">
        <f>VLOOKUP(B59,Ticker!$B:$E,4,FALSE)</f>
        <v>Delta Air Lines, Inc.</v>
      </c>
      <c r="E59" s="5">
        <v>44926</v>
      </c>
      <c r="F59" s="4" t="s">
        <v>70</v>
      </c>
      <c r="I59" t="s">
        <v>43</v>
      </c>
      <c r="J59" s="14">
        <f t="shared" si="4"/>
        <v>0</v>
      </c>
    </row>
    <row r="60" spans="2:10">
      <c r="B60">
        <v>4</v>
      </c>
      <c r="C60" t="str">
        <f>VLOOKUP(B60,Ticker!$B:$E,3,FALSE)</f>
        <v>DAL</v>
      </c>
      <c r="D60" t="str">
        <f>VLOOKUP(B60,Ticker!$B:$E,4,FALSE)</f>
        <v>Delta Air Lines, Inc.</v>
      </c>
      <c r="E60" s="5">
        <v>44926</v>
      </c>
      <c r="F60" t="s">
        <v>71</v>
      </c>
      <c r="G60" t="str">
        <f t="shared" ref="G60:G68" si="8">F60</f>
        <v>Receivables</v>
      </c>
      <c r="H60" s="10">
        <v>-728</v>
      </c>
      <c r="I60" t="s">
        <v>43</v>
      </c>
      <c r="J60" s="14">
        <f t="shared" si="4"/>
        <v>-728000000</v>
      </c>
    </row>
    <row r="61" spans="2:10">
      <c r="B61">
        <v>4</v>
      </c>
      <c r="C61" t="str">
        <f>VLOOKUP(B61,Ticker!$B:$E,3,FALSE)</f>
        <v>DAL</v>
      </c>
      <c r="D61" t="str">
        <f>VLOOKUP(B61,Ticker!$B:$E,4,FALSE)</f>
        <v>Delta Air Lines, Inc.</v>
      </c>
      <c r="E61" s="5">
        <v>44926</v>
      </c>
      <c r="F61" t="s">
        <v>72</v>
      </c>
      <c r="G61" t="str">
        <f t="shared" si="8"/>
        <v>Fuel inventory</v>
      </c>
      <c r="H61" s="10">
        <v>-158</v>
      </c>
      <c r="I61" t="s">
        <v>43</v>
      </c>
      <c r="J61" s="14">
        <f t="shared" si="4"/>
        <v>-158000000</v>
      </c>
    </row>
    <row r="62" spans="2:10">
      <c r="B62">
        <v>4</v>
      </c>
      <c r="C62" t="str">
        <f>VLOOKUP(B62,Ticker!$B:$E,3,FALSE)</f>
        <v>DAL</v>
      </c>
      <c r="D62" t="str">
        <f>VLOOKUP(B62,Ticker!$B:$E,4,FALSE)</f>
        <v>Delta Air Lines, Inc.</v>
      </c>
      <c r="E62" s="5">
        <v>44926</v>
      </c>
      <c r="F62" t="s">
        <v>73</v>
      </c>
      <c r="G62" t="str">
        <f t="shared" si="8"/>
        <v>Prepaids and other current assets</v>
      </c>
      <c r="H62" s="10">
        <v>-867</v>
      </c>
      <c r="I62" t="s">
        <v>43</v>
      </c>
      <c r="J62" s="14">
        <f t="shared" si="4"/>
        <v>-867000000</v>
      </c>
    </row>
    <row r="63" spans="2:10">
      <c r="B63">
        <v>4</v>
      </c>
      <c r="C63" t="str">
        <f>VLOOKUP(B63,Ticker!$B:$E,3,FALSE)</f>
        <v>DAL</v>
      </c>
      <c r="D63" t="str">
        <f>VLOOKUP(B63,Ticker!$B:$E,4,FALSE)</f>
        <v>Delta Air Lines, Inc.</v>
      </c>
      <c r="E63" s="5">
        <v>44926</v>
      </c>
      <c r="F63" t="s">
        <v>74</v>
      </c>
      <c r="G63" t="str">
        <f t="shared" si="8"/>
        <v>Air traffic liability</v>
      </c>
      <c r="H63" s="10">
        <v>1902</v>
      </c>
      <c r="I63" t="s">
        <v>43</v>
      </c>
      <c r="J63" s="14">
        <f t="shared" si="4"/>
        <v>1902000000</v>
      </c>
    </row>
    <row r="64" spans="2:10">
      <c r="B64">
        <v>4</v>
      </c>
      <c r="C64" t="str">
        <f>VLOOKUP(B64,Ticker!$B:$E,3,FALSE)</f>
        <v>DAL</v>
      </c>
      <c r="D64" t="str">
        <f>VLOOKUP(B64,Ticker!$B:$E,4,FALSE)</f>
        <v>Delta Air Lines, Inc.</v>
      </c>
      <c r="E64" s="5">
        <v>44926</v>
      </c>
      <c r="F64" t="s">
        <v>75</v>
      </c>
      <c r="G64" t="str">
        <f t="shared" si="8"/>
        <v>Loyalty program deferred revenue</v>
      </c>
      <c r="H64" s="10">
        <v>324</v>
      </c>
      <c r="I64" t="s">
        <v>43</v>
      </c>
      <c r="J64" s="14">
        <f t="shared" si="4"/>
        <v>324000000</v>
      </c>
    </row>
    <row r="65" spans="2:10">
      <c r="B65">
        <v>4</v>
      </c>
      <c r="C65" t="str">
        <f>VLOOKUP(B65,Ticker!$B:$E,3,FALSE)</f>
        <v>DAL</v>
      </c>
      <c r="D65" t="str">
        <f>VLOOKUP(B65,Ticker!$B:$E,4,FALSE)</f>
        <v>Delta Air Lines, Inc.</v>
      </c>
      <c r="E65" s="5">
        <v>44926</v>
      </c>
      <c r="F65" t="s">
        <v>76</v>
      </c>
      <c r="G65" t="str">
        <f t="shared" si="8"/>
        <v>Profit sharing</v>
      </c>
      <c r="H65" s="10">
        <v>455</v>
      </c>
      <c r="I65" t="s">
        <v>43</v>
      </c>
      <c r="J65" s="14">
        <f t="shared" si="4"/>
        <v>455000000</v>
      </c>
    </row>
    <row r="66" spans="2:10">
      <c r="B66">
        <v>4</v>
      </c>
      <c r="C66" t="str">
        <f>VLOOKUP(B66,Ticker!$B:$E,3,FALSE)</f>
        <v>DAL</v>
      </c>
      <c r="D66" t="str">
        <f>VLOOKUP(B66,Ticker!$B:$E,4,FALSE)</f>
        <v>Delta Air Lines, Inc.</v>
      </c>
      <c r="E66" s="5">
        <v>44926</v>
      </c>
      <c r="F66" t="s">
        <v>77</v>
      </c>
      <c r="G66" t="str">
        <f t="shared" si="8"/>
        <v>Other payables, deferred revenue and accrued liabilities</v>
      </c>
      <c r="H66" s="10">
        <v>1226</v>
      </c>
      <c r="I66" t="s">
        <v>43</v>
      </c>
      <c r="J66" s="14">
        <f t="shared" si="4"/>
        <v>1226000000</v>
      </c>
    </row>
    <row r="67" spans="2:10">
      <c r="B67">
        <v>4</v>
      </c>
      <c r="C67" t="str">
        <f>VLOOKUP(B67,Ticker!$B:$E,3,FALSE)</f>
        <v>DAL</v>
      </c>
      <c r="D67" t="str">
        <f>VLOOKUP(B67,Ticker!$B:$E,4,FALSE)</f>
        <v>Delta Air Lines, Inc.</v>
      </c>
      <c r="E67" s="5">
        <v>44926</v>
      </c>
      <c r="F67" t="s">
        <v>78</v>
      </c>
      <c r="G67" t="str">
        <f t="shared" si="8"/>
        <v>Noncurrent liabilities</v>
      </c>
      <c r="H67" s="10">
        <v>-348</v>
      </c>
      <c r="I67" t="s">
        <v>43</v>
      </c>
      <c r="J67" s="14">
        <f t="shared" si="4"/>
        <v>-348000000</v>
      </c>
    </row>
    <row r="68" spans="2:10">
      <c r="B68">
        <v>4</v>
      </c>
      <c r="C68" t="str">
        <f>VLOOKUP(B68,Ticker!$B:$E,3,FALSE)</f>
        <v>DAL</v>
      </c>
      <c r="D68" t="str">
        <f>VLOOKUP(B68,Ticker!$B:$E,4,FALSE)</f>
        <v>Delta Air Lines, Inc.</v>
      </c>
      <c r="E68" s="5">
        <v>44926</v>
      </c>
      <c r="F68" t="s">
        <v>79</v>
      </c>
      <c r="G68" t="str">
        <f t="shared" si="8"/>
        <v>Other, net</v>
      </c>
      <c r="H68" s="10">
        <v>146</v>
      </c>
      <c r="I68" t="s">
        <v>43</v>
      </c>
      <c r="J68" s="14">
        <f t="shared" si="4"/>
        <v>146000000</v>
      </c>
    </row>
    <row r="69" spans="2:10">
      <c r="B69">
        <v>5</v>
      </c>
      <c r="C69" t="str">
        <f>VLOOKUP(B69,Ticker!$B:$E,3,FALSE)</f>
        <v>JNJ</v>
      </c>
      <c r="D69" t="str">
        <f>VLOOKUP(B69,Ticker!$B:$E,4,FALSE)</f>
        <v>Johnson &amp; Johnson</v>
      </c>
      <c r="E69" s="5">
        <v>44927</v>
      </c>
      <c r="F69" t="s">
        <v>83</v>
      </c>
      <c r="G69" t="str">
        <f>F69</f>
        <v>Net earnings</v>
      </c>
      <c r="H69" s="10">
        <v>17941</v>
      </c>
      <c r="I69" t="s">
        <v>43</v>
      </c>
      <c r="J69" s="14">
        <f t="shared" si="4"/>
        <v>17941000000</v>
      </c>
    </row>
    <row r="70" spans="2:10">
      <c r="B70">
        <v>5</v>
      </c>
      <c r="C70" t="str">
        <f>VLOOKUP(B70,Ticker!$B:$E,3,FALSE)</f>
        <v>JNJ</v>
      </c>
      <c r="D70" t="str">
        <f>VLOOKUP(B70,Ticker!$B:$E,4,FALSE)</f>
        <v>Johnson &amp; Johnson</v>
      </c>
      <c r="E70" s="5">
        <v>44927</v>
      </c>
      <c r="F70" s="4" t="s">
        <v>84</v>
      </c>
      <c r="I70" t="s">
        <v>43</v>
      </c>
      <c r="J70" s="14">
        <f t="shared" si="4"/>
        <v>0</v>
      </c>
    </row>
    <row r="71" spans="2:10">
      <c r="B71">
        <v>5</v>
      </c>
      <c r="C71" t="str">
        <f>VLOOKUP(B71,Ticker!$B:$E,3,FALSE)</f>
        <v>JNJ</v>
      </c>
      <c r="D71" t="str">
        <f>VLOOKUP(B71,Ticker!$B:$E,4,FALSE)</f>
        <v>Johnson &amp; Johnson</v>
      </c>
      <c r="E71" s="5">
        <v>44927</v>
      </c>
      <c r="F71" t="s">
        <v>85</v>
      </c>
      <c r="G71" t="str">
        <f t="shared" ref="G71:G77" si="9">F71</f>
        <v>Depreciation and amortization of property and intangibles</v>
      </c>
      <c r="H71" s="10">
        <v>6970</v>
      </c>
      <c r="I71" t="s">
        <v>43</v>
      </c>
      <c r="J71" s="14">
        <f t="shared" si="4"/>
        <v>6970000000</v>
      </c>
    </row>
    <row r="72" spans="2:10">
      <c r="B72">
        <v>5</v>
      </c>
      <c r="C72" t="str">
        <f>VLOOKUP(B72,Ticker!$B:$E,3,FALSE)</f>
        <v>JNJ</v>
      </c>
      <c r="D72" t="str">
        <f>VLOOKUP(B72,Ticker!$B:$E,4,FALSE)</f>
        <v>Johnson &amp; Johnson</v>
      </c>
      <c r="E72" s="5">
        <v>44927</v>
      </c>
      <c r="F72" t="s">
        <v>86</v>
      </c>
      <c r="G72" t="str">
        <f t="shared" si="9"/>
        <v>Stock based compensation</v>
      </c>
      <c r="H72" s="10">
        <v>1138</v>
      </c>
      <c r="I72" t="s">
        <v>43</v>
      </c>
      <c r="J72" s="14">
        <f t="shared" si="4"/>
        <v>1138000000</v>
      </c>
    </row>
    <row r="73" spans="2:10">
      <c r="B73">
        <v>5</v>
      </c>
      <c r="C73" t="str">
        <f>VLOOKUP(B73,Ticker!$B:$E,3,FALSE)</f>
        <v>JNJ</v>
      </c>
      <c r="D73" t="str">
        <f>VLOOKUP(B73,Ticker!$B:$E,4,FALSE)</f>
        <v>Johnson &amp; Johnson</v>
      </c>
      <c r="E73" s="5">
        <v>44927</v>
      </c>
      <c r="F73" t="s">
        <v>87</v>
      </c>
      <c r="G73" t="str">
        <f t="shared" si="9"/>
        <v>Asset write-downs</v>
      </c>
      <c r="H73" s="10">
        <v>1216</v>
      </c>
      <c r="I73" t="s">
        <v>43</v>
      </c>
      <c r="J73" s="14">
        <f t="shared" si="4"/>
        <v>1216000000</v>
      </c>
    </row>
    <row r="74" spans="2:10">
      <c r="B74">
        <v>5</v>
      </c>
      <c r="C74" t="str">
        <f>VLOOKUP(B74,Ticker!$B:$E,3,FALSE)</f>
        <v>JNJ</v>
      </c>
      <c r="D74" t="str">
        <f>VLOOKUP(B74,Ticker!$B:$E,4,FALSE)</f>
        <v>Johnson &amp; Johnson</v>
      </c>
      <c r="E74" s="5">
        <v>44927</v>
      </c>
      <c r="F74" t="s">
        <v>88</v>
      </c>
      <c r="G74" t="str">
        <f t="shared" si="9"/>
        <v>Contingent consideration reversal</v>
      </c>
      <c r="I74" t="s">
        <v>43</v>
      </c>
      <c r="J74" s="14">
        <f t="shared" si="4"/>
        <v>0</v>
      </c>
    </row>
    <row r="75" spans="2:10">
      <c r="B75">
        <v>5</v>
      </c>
      <c r="C75" t="str">
        <f>VLOOKUP(B75,Ticker!$B:$E,3,FALSE)</f>
        <v>JNJ</v>
      </c>
      <c r="D75" t="str">
        <f>VLOOKUP(B75,Ticker!$B:$E,4,FALSE)</f>
        <v>Johnson &amp; Johnson</v>
      </c>
      <c r="E75" s="5">
        <v>44927</v>
      </c>
      <c r="F75" t="s">
        <v>89</v>
      </c>
      <c r="G75" t="str">
        <f t="shared" si="9"/>
        <v>Net gain on sale of assets/businesses</v>
      </c>
      <c r="H75" s="10">
        <v>-380</v>
      </c>
      <c r="I75" t="s">
        <v>43</v>
      </c>
      <c r="J75" s="14">
        <f t="shared" si="4"/>
        <v>-380000000</v>
      </c>
    </row>
    <row r="76" spans="2:10">
      <c r="B76">
        <v>5</v>
      </c>
      <c r="C76" t="str">
        <f>VLOOKUP(B76,Ticker!$B:$E,3,FALSE)</f>
        <v>JNJ</v>
      </c>
      <c r="D76" t="str">
        <f>VLOOKUP(B76,Ticker!$B:$E,4,FALSE)</f>
        <v>Johnson &amp; Johnson</v>
      </c>
      <c r="E76" s="5">
        <v>44927</v>
      </c>
      <c r="F76" t="s">
        <v>90</v>
      </c>
      <c r="G76" t="str">
        <f t="shared" si="9"/>
        <v>Deferred tax provision</v>
      </c>
      <c r="H76" s="10">
        <v>-1663</v>
      </c>
      <c r="I76" t="s">
        <v>43</v>
      </c>
      <c r="J76" s="14">
        <f t="shared" si="4"/>
        <v>-1663000000</v>
      </c>
    </row>
    <row r="77" spans="2:10">
      <c r="B77">
        <v>5</v>
      </c>
      <c r="C77" t="str">
        <f>VLOOKUP(B77,Ticker!$B:$E,3,FALSE)</f>
        <v>JNJ</v>
      </c>
      <c r="D77" t="str">
        <f>VLOOKUP(B77,Ticker!$B:$E,4,FALSE)</f>
        <v>Johnson &amp; Johnson</v>
      </c>
      <c r="E77" s="5">
        <v>44927</v>
      </c>
      <c r="F77" t="s">
        <v>91</v>
      </c>
      <c r="G77" t="str">
        <f t="shared" si="9"/>
        <v>Credit losses and accounts receivable allowances</v>
      </c>
      <c r="H77" s="10">
        <v>-17</v>
      </c>
      <c r="I77" t="s">
        <v>43</v>
      </c>
      <c r="J77" s="14">
        <f t="shared" si="4"/>
        <v>-17000000</v>
      </c>
    </row>
    <row r="78" spans="2:10">
      <c r="B78">
        <v>5</v>
      </c>
      <c r="C78" t="str">
        <f>VLOOKUP(B78,Ticker!$B:$E,3,FALSE)</f>
        <v>JNJ</v>
      </c>
      <c r="D78" t="str">
        <f>VLOOKUP(B78,Ticker!$B:$E,4,FALSE)</f>
        <v>Johnson &amp; Johnson</v>
      </c>
      <c r="E78" s="5">
        <v>44927</v>
      </c>
      <c r="F78" s="4" t="s">
        <v>92</v>
      </c>
      <c r="I78" t="s">
        <v>43</v>
      </c>
      <c r="J78" s="14">
        <f t="shared" si="4"/>
        <v>0</v>
      </c>
    </row>
    <row r="79" spans="2:10">
      <c r="B79">
        <v>5</v>
      </c>
      <c r="C79" t="str">
        <f>VLOOKUP(B79,Ticker!$B:$E,3,FALSE)</f>
        <v>JNJ</v>
      </c>
      <c r="D79" t="str">
        <f>VLOOKUP(B79,Ticker!$B:$E,4,FALSE)</f>
        <v>Johnson &amp; Johnson</v>
      </c>
      <c r="E79" s="5">
        <v>44927</v>
      </c>
      <c r="F79" t="s">
        <v>93</v>
      </c>
      <c r="G79" t="str">
        <f t="shared" ref="G79:G83" si="10">F79</f>
        <v>(Increase)/Decrease in accounts receivable</v>
      </c>
      <c r="H79" s="10">
        <v>-1290</v>
      </c>
      <c r="I79" t="s">
        <v>43</v>
      </c>
      <c r="J79" s="14">
        <f t="shared" si="4"/>
        <v>-1290000000</v>
      </c>
    </row>
    <row r="80" spans="2:10">
      <c r="B80">
        <v>5</v>
      </c>
      <c r="C80" t="str">
        <f>VLOOKUP(B80,Ticker!$B:$E,3,FALSE)</f>
        <v>JNJ</v>
      </c>
      <c r="D80" t="str">
        <f>VLOOKUP(B80,Ticker!$B:$E,4,FALSE)</f>
        <v>Johnson &amp; Johnson</v>
      </c>
      <c r="E80" s="5">
        <v>44927</v>
      </c>
      <c r="F80" t="s">
        <v>94</v>
      </c>
      <c r="G80" t="str">
        <f t="shared" si="10"/>
        <v>Increase in inventories</v>
      </c>
      <c r="H80" s="10">
        <v>-2527</v>
      </c>
      <c r="I80" t="s">
        <v>43</v>
      </c>
      <c r="J80" s="14">
        <f t="shared" si="4"/>
        <v>-2527000000</v>
      </c>
    </row>
    <row r="81" spans="2:10">
      <c r="B81">
        <v>5</v>
      </c>
      <c r="C81" t="str">
        <f>VLOOKUP(B81,Ticker!$B:$E,3,FALSE)</f>
        <v>JNJ</v>
      </c>
      <c r="D81" t="str">
        <f>VLOOKUP(B81,Ticker!$B:$E,4,FALSE)</f>
        <v>Johnson &amp; Johnson</v>
      </c>
      <c r="E81" s="5">
        <v>44927</v>
      </c>
      <c r="F81" t="s">
        <v>95</v>
      </c>
      <c r="G81" t="str">
        <f t="shared" si="10"/>
        <v>Increase in accounts payable and accrued liabilities</v>
      </c>
      <c r="H81" s="10">
        <v>1098</v>
      </c>
      <c r="I81" t="s">
        <v>43</v>
      </c>
      <c r="J81" s="14">
        <f t="shared" si="4"/>
        <v>1098000000</v>
      </c>
    </row>
    <row r="82" spans="2:10">
      <c r="B82">
        <v>5</v>
      </c>
      <c r="C82" t="str">
        <f>VLOOKUP(B82,Ticker!$B:$E,3,FALSE)</f>
        <v>JNJ</v>
      </c>
      <c r="D82" t="str">
        <f>VLOOKUP(B82,Ticker!$B:$E,4,FALSE)</f>
        <v>Johnson &amp; Johnson</v>
      </c>
      <c r="E82" s="5">
        <v>44927</v>
      </c>
      <c r="F82" t="s">
        <v>96</v>
      </c>
      <c r="G82" t="str">
        <f t="shared" si="10"/>
        <v>Decrease/(Increase) in other current and non-current assets</v>
      </c>
      <c r="H82" s="10">
        <v>687</v>
      </c>
      <c r="I82" t="s">
        <v>43</v>
      </c>
      <c r="J82" s="14">
        <f t="shared" si="4"/>
        <v>687000000</v>
      </c>
    </row>
    <row r="83" spans="2:10">
      <c r="B83">
        <v>5</v>
      </c>
      <c r="C83" t="str">
        <f>VLOOKUP(B83,Ticker!$B:$E,3,FALSE)</f>
        <v>JNJ</v>
      </c>
      <c r="D83" t="str">
        <f>VLOOKUP(B83,Ticker!$B:$E,4,FALSE)</f>
        <v>Johnson &amp; Johnson</v>
      </c>
      <c r="E83" s="5">
        <v>44927</v>
      </c>
      <c r="F83" t="s">
        <v>97</v>
      </c>
      <c r="G83" t="str">
        <f t="shared" si="10"/>
        <v>(Decrease)/Increase in other current and non-current liabilities</v>
      </c>
      <c r="H83" s="10">
        <v>-1979</v>
      </c>
      <c r="I83" t="s">
        <v>43</v>
      </c>
      <c r="J83" s="14">
        <f t="shared" si="4"/>
        <v>-1979000000</v>
      </c>
    </row>
    <row r="84" spans="2:10">
      <c r="B84">
        <v>6</v>
      </c>
      <c r="C84" t="str">
        <f>VLOOKUP(B84,Ticker!$B:$E,3,FALSE)</f>
        <v>C</v>
      </c>
      <c r="D84" t="str">
        <f>VLOOKUP(B84,Ticker!$B:$E,4,FALSE)</f>
        <v>Citigroup Inc.</v>
      </c>
      <c r="E84" s="5">
        <v>44926</v>
      </c>
      <c r="F84" t="s">
        <v>101</v>
      </c>
      <c r="G84" t="str">
        <f t="shared" ref="G84:G99" si="11">F84</f>
        <v>Income from continuing operations—excluding noncontrolling interests</v>
      </c>
      <c r="H84" s="10">
        <v>15076</v>
      </c>
      <c r="I84" t="s">
        <v>43</v>
      </c>
      <c r="J84" s="14">
        <f t="shared" si="4"/>
        <v>15076000000</v>
      </c>
    </row>
    <row r="85" spans="2:10">
      <c r="B85">
        <v>6</v>
      </c>
      <c r="C85" t="str">
        <f>VLOOKUP(B85,Ticker!$B:$E,3,FALSE)</f>
        <v>C</v>
      </c>
      <c r="D85" t="str">
        <f>VLOOKUP(B85,Ticker!$B:$E,4,FALSE)</f>
        <v>Citigroup Inc.</v>
      </c>
      <c r="E85" s="5">
        <v>44926</v>
      </c>
      <c r="F85" s="4" t="s">
        <v>114</v>
      </c>
      <c r="I85" t="s">
        <v>43</v>
      </c>
      <c r="J85" s="14">
        <f t="shared" si="4"/>
        <v>0</v>
      </c>
    </row>
    <row r="86" spans="2:10">
      <c r="B86">
        <v>6</v>
      </c>
      <c r="C86" t="str">
        <f>VLOOKUP(B86,Ticker!$B:$E,3,FALSE)</f>
        <v>C</v>
      </c>
      <c r="D86" t="str">
        <f>VLOOKUP(B86,Ticker!$B:$E,4,FALSE)</f>
        <v>Citigroup Inc.</v>
      </c>
      <c r="E86" s="5">
        <v>44926</v>
      </c>
      <c r="F86" t="s">
        <v>102</v>
      </c>
      <c r="G86" t="str">
        <f t="shared" si="11"/>
        <v>Net loss (gain) on sale of significant disposals(1)</v>
      </c>
      <c r="H86" s="10">
        <v>-762</v>
      </c>
      <c r="I86" t="s">
        <v>43</v>
      </c>
      <c r="J86" s="14">
        <f t="shared" si="4"/>
        <v>-762000000</v>
      </c>
    </row>
    <row r="87" spans="2:10">
      <c r="B87">
        <v>6</v>
      </c>
      <c r="C87" t="str">
        <f>VLOOKUP(B87,Ticker!$B:$E,3,FALSE)</f>
        <v>C</v>
      </c>
      <c r="D87" t="str">
        <f>VLOOKUP(B87,Ticker!$B:$E,4,FALSE)</f>
        <v>Citigroup Inc.</v>
      </c>
      <c r="E87" s="5">
        <v>44926</v>
      </c>
      <c r="F87" t="s">
        <v>15</v>
      </c>
      <c r="G87" t="str">
        <f t="shared" si="11"/>
        <v>Depreciation and amortization</v>
      </c>
      <c r="H87" s="10">
        <v>4262</v>
      </c>
      <c r="I87" t="s">
        <v>43</v>
      </c>
      <c r="J87" s="14">
        <f t="shared" si="4"/>
        <v>4262000000</v>
      </c>
    </row>
    <row r="88" spans="2:10">
      <c r="B88">
        <v>6</v>
      </c>
      <c r="C88" t="str">
        <f>VLOOKUP(B88,Ticker!$B:$E,3,FALSE)</f>
        <v>C</v>
      </c>
      <c r="D88" t="str">
        <f>VLOOKUP(B88,Ticker!$B:$E,4,FALSE)</f>
        <v>Citigroup Inc.</v>
      </c>
      <c r="E88" s="5">
        <v>44926</v>
      </c>
      <c r="F88" t="s">
        <v>36</v>
      </c>
      <c r="G88" t="str">
        <f t="shared" si="11"/>
        <v>Deferred income taxes</v>
      </c>
      <c r="H88" s="10">
        <v>-1141</v>
      </c>
      <c r="I88" t="s">
        <v>43</v>
      </c>
      <c r="J88" s="14">
        <f t="shared" si="4"/>
        <v>-1141000000</v>
      </c>
    </row>
    <row r="89" spans="2:10">
      <c r="B89">
        <v>6</v>
      </c>
      <c r="C89" t="str">
        <f>VLOOKUP(B89,Ticker!$B:$E,3,FALSE)</f>
        <v>C</v>
      </c>
      <c r="D89" t="str">
        <f>VLOOKUP(B89,Ticker!$B:$E,4,FALSE)</f>
        <v>Citigroup Inc.</v>
      </c>
      <c r="E89" s="5">
        <v>44926</v>
      </c>
      <c r="F89" t="s">
        <v>103</v>
      </c>
      <c r="G89" t="str">
        <f t="shared" si="11"/>
        <v>Provisions for credit losses on loans and unfunded lending commitments</v>
      </c>
      <c r="H89" s="10">
        <v>5036</v>
      </c>
      <c r="I89" t="s">
        <v>43</v>
      </c>
      <c r="J89" s="14">
        <f t="shared" si="4"/>
        <v>5036000000</v>
      </c>
    </row>
    <row r="90" spans="2:10">
      <c r="B90">
        <v>6</v>
      </c>
      <c r="C90" t="str">
        <f>VLOOKUP(B90,Ticker!$B:$E,3,FALSE)</f>
        <v>C</v>
      </c>
      <c r="D90" t="str">
        <f>VLOOKUP(B90,Ticker!$B:$E,4,FALSE)</f>
        <v>Citigroup Inc.</v>
      </c>
      <c r="E90" s="5">
        <v>44926</v>
      </c>
      <c r="F90" t="s">
        <v>104</v>
      </c>
      <c r="G90" t="str">
        <f t="shared" si="11"/>
        <v>Realized gains from sales of investments</v>
      </c>
      <c r="H90" s="10">
        <v>-67</v>
      </c>
      <c r="I90" t="s">
        <v>43</v>
      </c>
      <c r="J90" s="14">
        <f t="shared" si="4"/>
        <v>-67000000</v>
      </c>
    </row>
    <row r="91" spans="2:10">
      <c r="B91">
        <v>6</v>
      </c>
      <c r="C91" t="str">
        <f>VLOOKUP(B91,Ticker!$B:$E,3,FALSE)</f>
        <v>C</v>
      </c>
      <c r="D91" t="str">
        <f>VLOOKUP(B91,Ticker!$B:$E,4,FALSE)</f>
        <v>Citigroup Inc.</v>
      </c>
      <c r="E91" s="5">
        <v>44926</v>
      </c>
      <c r="F91" t="s">
        <v>105</v>
      </c>
      <c r="G91" t="str">
        <f t="shared" si="11"/>
        <v>Impairment losses on investments and other assets</v>
      </c>
      <c r="H91" s="10">
        <v>499</v>
      </c>
      <c r="I91" t="s">
        <v>43</v>
      </c>
      <c r="J91" s="14">
        <f t="shared" si="4"/>
        <v>499000000</v>
      </c>
    </row>
    <row r="92" spans="2:10">
      <c r="B92">
        <v>6</v>
      </c>
      <c r="C92" t="str">
        <f>VLOOKUP(B92,Ticker!$B:$E,3,FALSE)</f>
        <v>C</v>
      </c>
      <c r="D92" t="str">
        <f>VLOOKUP(B92,Ticker!$B:$E,4,FALSE)</f>
        <v>Citigroup Inc.</v>
      </c>
      <c r="E92" s="5">
        <v>44926</v>
      </c>
      <c r="F92" t="s">
        <v>106</v>
      </c>
      <c r="G92" t="str">
        <f t="shared" si="11"/>
        <v>Goodwill impairment</v>
      </c>
      <c r="H92" s="10">
        <v>535</v>
      </c>
      <c r="I92" t="s">
        <v>43</v>
      </c>
      <c r="J92" s="14">
        <f t="shared" si="4"/>
        <v>535000000</v>
      </c>
    </row>
    <row r="93" spans="2:10">
      <c r="B93">
        <v>6</v>
      </c>
      <c r="C93" t="str">
        <f>VLOOKUP(B93,Ticker!$B:$E,3,FALSE)</f>
        <v>C</v>
      </c>
      <c r="D93" t="str">
        <f>VLOOKUP(B93,Ticker!$B:$E,4,FALSE)</f>
        <v>Citigroup Inc.</v>
      </c>
      <c r="E93" s="5">
        <v>44926</v>
      </c>
      <c r="F93" t="s">
        <v>107</v>
      </c>
      <c r="G93" t="str">
        <f t="shared" si="11"/>
        <v>Change in trading account assets</v>
      </c>
      <c r="H93" s="10">
        <v>-2273</v>
      </c>
      <c r="I93" t="s">
        <v>43</v>
      </c>
      <c r="J93" s="14">
        <f t="shared" si="4"/>
        <v>-2273000000</v>
      </c>
    </row>
    <row r="94" spans="2:10">
      <c r="B94">
        <v>6</v>
      </c>
      <c r="C94" t="str">
        <f>VLOOKUP(B94,Ticker!$B:$E,3,FALSE)</f>
        <v>C</v>
      </c>
      <c r="D94" t="str">
        <f>VLOOKUP(B94,Ticker!$B:$E,4,FALSE)</f>
        <v>Citigroup Inc.</v>
      </c>
      <c r="E94" s="5">
        <v>44926</v>
      </c>
      <c r="F94" t="s">
        <v>108</v>
      </c>
      <c r="G94" t="str">
        <f t="shared" si="11"/>
        <v>Change in trading account liabilities</v>
      </c>
      <c r="H94" s="10">
        <v>9118</v>
      </c>
      <c r="I94" t="s">
        <v>43</v>
      </c>
      <c r="J94" s="14">
        <f t="shared" si="4"/>
        <v>9118000000</v>
      </c>
    </row>
    <row r="95" spans="2:10">
      <c r="B95">
        <v>6</v>
      </c>
      <c r="C95" t="str">
        <f>VLOOKUP(B95,Ticker!$B:$E,3,FALSE)</f>
        <v>C</v>
      </c>
      <c r="D95" t="str">
        <f>VLOOKUP(B95,Ticker!$B:$E,4,FALSE)</f>
        <v>Citigroup Inc.</v>
      </c>
      <c r="E95" s="5">
        <v>44926</v>
      </c>
      <c r="F95" t="s">
        <v>109</v>
      </c>
      <c r="G95" t="str">
        <f t="shared" si="11"/>
        <v>Change in brokerage receivables net of brokerage payables</v>
      </c>
      <c r="H95" s="10">
        <v>7936</v>
      </c>
      <c r="I95" t="s">
        <v>43</v>
      </c>
      <c r="J95" s="14">
        <f t="shared" si="4"/>
        <v>7936000000</v>
      </c>
    </row>
    <row r="96" spans="2:10">
      <c r="B96">
        <v>6</v>
      </c>
      <c r="C96" t="str">
        <f>VLOOKUP(B96,Ticker!$B:$E,3,FALSE)</f>
        <v>C</v>
      </c>
      <c r="D96" t="str">
        <f>VLOOKUP(B96,Ticker!$B:$E,4,FALSE)</f>
        <v>Citigroup Inc.</v>
      </c>
      <c r="E96" s="5">
        <v>44926</v>
      </c>
      <c r="F96" t="s">
        <v>110</v>
      </c>
      <c r="G96" t="str">
        <f t="shared" si="11"/>
        <v>Change in loans held-for-sale (HFS)</v>
      </c>
      <c r="H96" s="10">
        <v>4421</v>
      </c>
      <c r="I96" t="s">
        <v>43</v>
      </c>
      <c r="J96" s="14">
        <f t="shared" si="4"/>
        <v>4421000000</v>
      </c>
    </row>
    <row r="97" spans="2:10">
      <c r="B97">
        <v>6</v>
      </c>
      <c r="C97" t="str">
        <f>VLOOKUP(B97,Ticker!$B:$E,3,FALSE)</f>
        <v>C</v>
      </c>
      <c r="D97" t="str">
        <f>VLOOKUP(B97,Ticker!$B:$E,4,FALSE)</f>
        <v>Citigroup Inc.</v>
      </c>
      <c r="E97" s="5">
        <v>44926</v>
      </c>
      <c r="F97" t="s">
        <v>111</v>
      </c>
      <c r="G97" t="str">
        <f t="shared" si="11"/>
        <v>Change in other assets</v>
      </c>
      <c r="H97" s="10">
        <v>-4992</v>
      </c>
      <c r="I97" t="s">
        <v>43</v>
      </c>
      <c r="J97" s="14">
        <f t="shared" si="4"/>
        <v>-4992000000</v>
      </c>
    </row>
    <row r="98" spans="2:10">
      <c r="B98">
        <v>6</v>
      </c>
      <c r="C98" t="str">
        <f>VLOOKUP(B98,Ticker!$B:$E,3,FALSE)</f>
        <v>C</v>
      </c>
      <c r="D98" t="str">
        <f>VLOOKUP(B98,Ticker!$B:$E,4,FALSE)</f>
        <v>Citigroup Inc.</v>
      </c>
      <c r="E98" s="5">
        <v>44926</v>
      </c>
      <c r="F98" t="s">
        <v>112</v>
      </c>
      <c r="G98" t="str">
        <f t="shared" si="11"/>
        <v>Change in other liabilities</v>
      </c>
      <c r="H98" s="10">
        <v>5343</v>
      </c>
      <c r="I98" t="s">
        <v>43</v>
      </c>
      <c r="J98" s="14">
        <f t="shared" si="4"/>
        <v>5343000000</v>
      </c>
    </row>
    <row r="99" spans="2:10">
      <c r="B99">
        <v>6</v>
      </c>
      <c r="C99" t="str">
        <f>VLOOKUP(B99,Ticker!$B:$E,3,FALSE)</f>
        <v>C</v>
      </c>
      <c r="D99" t="str">
        <f>VLOOKUP(B99,Ticker!$B:$E,4,FALSE)</f>
        <v>Citigroup Inc.</v>
      </c>
      <c r="E99" s="5">
        <v>44926</v>
      </c>
      <c r="F99" t="s">
        <v>113</v>
      </c>
      <c r="G99" t="str">
        <f t="shared" si="11"/>
        <v>Other, net(2)</v>
      </c>
      <c r="H99" s="10">
        <v>-17922</v>
      </c>
      <c r="I99" t="s">
        <v>43</v>
      </c>
      <c r="J99" s="14">
        <f t="shared" ref="J99:J148" si="12">H99*1000000</f>
        <v>-17922000000</v>
      </c>
    </row>
    <row r="100" spans="2:10">
      <c r="B100">
        <v>7</v>
      </c>
      <c r="C100" t="str">
        <f>VLOOKUP(B100,Ticker!$B:$E,3,FALSE)</f>
        <v>T</v>
      </c>
      <c r="D100" t="str">
        <f>VLOOKUP(B100,Ticker!$B:$E,4,FALSE)</f>
        <v>AT&amp;T Inc.</v>
      </c>
      <c r="E100" s="5">
        <v>44926</v>
      </c>
      <c r="F100" t="s">
        <v>118</v>
      </c>
      <c r="G100" t="str">
        <f>F100</f>
        <v>Income (loss) from continuing operations</v>
      </c>
      <c r="H100" s="10">
        <v>-6874</v>
      </c>
      <c r="I100" t="s">
        <v>43</v>
      </c>
      <c r="J100" s="14">
        <f t="shared" si="12"/>
        <v>-6874000000</v>
      </c>
    </row>
    <row r="101" spans="2:10">
      <c r="B101">
        <v>7</v>
      </c>
      <c r="C101" t="str">
        <f>VLOOKUP(B101,Ticker!$B:$E,3,FALSE)</f>
        <v>T</v>
      </c>
      <c r="D101" t="str">
        <f>VLOOKUP(B101,Ticker!$B:$E,4,FALSE)</f>
        <v>AT&amp;T Inc.</v>
      </c>
      <c r="E101" s="5">
        <v>44926</v>
      </c>
      <c r="F101" s="4" t="s">
        <v>119</v>
      </c>
      <c r="I101" t="s">
        <v>43</v>
      </c>
      <c r="J101" s="14">
        <f t="shared" si="12"/>
        <v>0</v>
      </c>
    </row>
    <row r="102" spans="2:10">
      <c r="B102">
        <v>7</v>
      </c>
      <c r="C102" t="str">
        <f>VLOOKUP(B102,Ticker!$B:$E,3,FALSE)</f>
        <v>T</v>
      </c>
      <c r="D102" t="str">
        <f>VLOOKUP(B102,Ticker!$B:$E,4,FALSE)</f>
        <v>AT&amp;T Inc.</v>
      </c>
      <c r="E102" s="5">
        <v>44926</v>
      </c>
      <c r="F102" t="s">
        <v>15</v>
      </c>
      <c r="G102" t="str">
        <f t="shared" ref="G102:G108" si="13">F102</f>
        <v>Depreciation and amortization</v>
      </c>
      <c r="H102" s="10">
        <v>18021</v>
      </c>
      <c r="I102" t="s">
        <v>43</v>
      </c>
      <c r="J102" s="14">
        <f t="shared" si="12"/>
        <v>18021000000</v>
      </c>
    </row>
    <row r="103" spans="2:10">
      <c r="B103">
        <v>7</v>
      </c>
      <c r="C103" t="str">
        <f>VLOOKUP(B103,Ticker!$B:$E,3,FALSE)</f>
        <v>T</v>
      </c>
      <c r="D103" t="str">
        <f>VLOOKUP(B103,Ticker!$B:$E,4,FALSE)</f>
        <v>AT&amp;T Inc.</v>
      </c>
      <c r="E103" s="5">
        <v>44926</v>
      </c>
      <c r="F103" t="s">
        <v>120</v>
      </c>
      <c r="G103" t="str">
        <f t="shared" si="13"/>
        <v>Provision for uncollectible accounts</v>
      </c>
      <c r="H103" s="10">
        <v>1865</v>
      </c>
      <c r="I103" t="s">
        <v>43</v>
      </c>
      <c r="J103" s="14">
        <f t="shared" si="12"/>
        <v>1865000000</v>
      </c>
    </row>
    <row r="104" spans="2:10">
      <c r="B104">
        <v>7</v>
      </c>
      <c r="C104" t="str">
        <f>VLOOKUP(B104,Ticker!$B:$E,3,FALSE)</f>
        <v>T</v>
      </c>
      <c r="D104" t="str">
        <f>VLOOKUP(B104,Ticker!$B:$E,4,FALSE)</f>
        <v>AT&amp;T Inc.</v>
      </c>
      <c r="E104" s="5">
        <v>44926</v>
      </c>
      <c r="F104" t="s">
        <v>121</v>
      </c>
      <c r="G104" t="str">
        <f t="shared" si="13"/>
        <v>Deferred income tax expense</v>
      </c>
      <c r="H104" s="10">
        <v>2975</v>
      </c>
      <c r="I104" t="s">
        <v>43</v>
      </c>
      <c r="J104" s="14">
        <f t="shared" si="12"/>
        <v>2975000000</v>
      </c>
    </row>
    <row r="105" spans="2:10">
      <c r="B105">
        <v>7</v>
      </c>
      <c r="C105" t="str">
        <f>VLOOKUP(B105,Ticker!$B:$E,3,FALSE)</f>
        <v>T</v>
      </c>
      <c r="D105" t="str">
        <f>VLOOKUP(B105,Ticker!$B:$E,4,FALSE)</f>
        <v>AT&amp;T Inc.</v>
      </c>
      <c r="E105" s="5">
        <v>44926</v>
      </c>
      <c r="F105" t="s">
        <v>122</v>
      </c>
      <c r="G105" t="str">
        <f t="shared" si="13"/>
        <v>Net (gain) loss on investments, net of impairments</v>
      </c>
      <c r="H105" s="10">
        <v>381</v>
      </c>
      <c r="I105" t="s">
        <v>43</v>
      </c>
      <c r="J105" s="14">
        <f t="shared" si="12"/>
        <v>381000000</v>
      </c>
    </row>
    <row r="106" spans="2:10">
      <c r="B106">
        <v>7</v>
      </c>
      <c r="C106" t="str">
        <f>VLOOKUP(B106,Ticker!$B:$E,3,FALSE)</f>
        <v>T</v>
      </c>
      <c r="D106" t="str">
        <f>VLOOKUP(B106,Ticker!$B:$E,4,FALSE)</f>
        <v>AT&amp;T Inc.</v>
      </c>
      <c r="E106" s="5">
        <v>44926</v>
      </c>
      <c r="F106" t="s">
        <v>123</v>
      </c>
      <c r="G106" t="str">
        <f t="shared" si="13"/>
        <v>Pension and postretirement benefit expense (credit)</v>
      </c>
      <c r="H106" s="10">
        <v>-3237</v>
      </c>
      <c r="I106" t="s">
        <v>43</v>
      </c>
      <c r="J106" s="14">
        <f t="shared" si="12"/>
        <v>-3237000000</v>
      </c>
    </row>
    <row r="107" spans="2:10">
      <c r="B107">
        <v>7</v>
      </c>
      <c r="C107" t="str">
        <f>VLOOKUP(B107,Ticker!$B:$E,3,FALSE)</f>
        <v>T</v>
      </c>
      <c r="D107" t="str">
        <f>VLOOKUP(B107,Ticker!$B:$E,4,FALSE)</f>
        <v>AT&amp;T Inc.</v>
      </c>
      <c r="E107" s="5">
        <v>44926</v>
      </c>
      <c r="F107" t="s">
        <v>124</v>
      </c>
      <c r="G107" t="str">
        <f t="shared" si="13"/>
        <v>Actuarial (gain) loss on pension and postretirement benefits</v>
      </c>
      <c r="H107" s="10">
        <v>-1999</v>
      </c>
      <c r="I107" t="s">
        <v>43</v>
      </c>
      <c r="J107" s="14">
        <f t="shared" si="12"/>
        <v>-1999000000</v>
      </c>
    </row>
    <row r="108" spans="2:10">
      <c r="B108">
        <v>7</v>
      </c>
      <c r="C108" t="str">
        <f>VLOOKUP(B108,Ticker!$B:$E,3,FALSE)</f>
        <v>T</v>
      </c>
      <c r="D108" t="str">
        <f>VLOOKUP(B108,Ticker!$B:$E,4,FALSE)</f>
        <v>AT&amp;T Inc.</v>
      </c>
      <c r="E108" s="5">
        <v>44926</v>
      </c>
      <c r="F108" t="s">
        <v>125</v>
      </c>
      <c r="G108" t="str">
        <f t="shared" si="13"/>
        <v>Asset impairments and abandonments and restructuring</v>
      </c>
      <c r="H108" s="10">
        <v>27498</v>
      </c>
      <c r="I108" t="s">
        <v>43</v>
      </c>
      <c r="J108" s="14">
        <f t="shared" si="12"/>
        <v>27498000000</v>
      </c>
    </row>
    <row r="109" spans="2:10">
      <c r="B109">
        <v>7</v>
      </c>
      <c r="C109" t="str">
        <f>VLOOKUP(B109,Ticker!$B:$E,3,FALSE)</f>
        <v>T</v>
      </c>
      <c r="D109" t="str">
        <f>VLOOKUP(B109,Ticker!$B:$E,4,FALSE)</f>
        <v>AT&amp;T Inc.</v>
      </c>
      <c r="E109" s="5">
        <v>44926</v>
      </c>
      <c r="F109" s="4" t="s">
        <v>19</v>
      </c>
      <c r="I109" t="s">
        <v>43</v>
      </c>
      <c r="J109" s="14">
        <f t="shared" si="12"/>
        <v>0</v>
      </c>
    </row>
    <row r="110" spans="2:10">
      <c r="B110">
        <v>7</v>
      </c>
      <c r="C110" t="str">
        <f>VLOOKUP(B110,Ticker!$B:$E,3,FALSE)</f>
        <v>T</v>
      </c>
      <c r="D110" t="str">
        <f>VLOOKUP(B110,Ticker!$B:$E,4,FALSE)</f>
        <v>AT&amp;T Inc.</v>
      </c>
      <c r="E110" s="5">
        <v>44926</v>
      </c>
      <c r="F110" t="s">
        <v>71</v>
      </c>
      <c r="G110" t="str">
        <f t="shared" ref="G110:G116" si="14">F110</f>
        <v>Receivables</v>
      </c>
      <c r="H110" s="10">
        <v>727</v>
      </c>
      <c r="I110" t="s">
        <v>43</v>
      </c>
      <c r="J110" s="14">
        <f t="shared" si="12"/>
        <v>727000000</v>
      </c>
    </row>
    <row r="111" spans="2:10">
      <c r="B111">
        <v>7</v>
      </c>
      <c r="C111" t="str">
        <f>VLOOKUP(B111,Ticker!$B:$E,3,FALSE)</f>
        <v>T</v>
      </c>
      <c r="D111" t="str">
        <f>VLOOKUP(B111,Ticker!$B:$E,4,FALSE)</f>
        <v>AT&amp;T Inc.</v>
      </c>
      <c r="E111" s="5">
        <v>44926</v>
      </c>
      <c r="F111" t="s">
        <v>37</v>
      </c>
      <c r="G111" t="str">
        <f t="shared" si="14"/>
        <v>Other current assets</v>
      </c>
      <c r="H111" s="10">
        <v>-674</v>
      </c>
      <c r="I111" t="s">
        <v>43</v>
      </c>
      <c r="J111" s="14">
        <f t="shared" si="12"/>
        <v>-674000000</v>
      </c>
    </row>
    <row r="112" spans="2:10">
      <c r="B112">
        <v>7</v>
      </c>
      <c r="C112" t="str">
        <f>VLOOKUP(B112,Ticker!$B:$E,3,FALSE)</f>
        <v>T</v>
      </c>
      <c r="D112" t="str">
        <f>VLOOKUP(B112,Ticker!$B:$E,4,FALSE)</f>
        <v>AT&amp;T Inc.</v>
      </c>
      <c r="E112" s="5">
        <v>44926</v>
      </c>
      <c r="F112" t="s">
        <v>126</v>
      </c>
      <c r="G112" t="str">
        <f t="shared" si="14"/>
        <v>Accounts payable and other accrued liabilities</v>
      </c>
      <c r="H112" s="10">
        <v>-1109</v>
      </c>
      <c r="I112" t="s">
        <v>43</v>
      </c>
      <c r="J112" s="14">
        <f t="shared" si="12"/>
        <v>-1109000000</v>
      </c>
    </row>
    <row r="113" spans="2:10">
      <c r="B113">
        <v>7</v>
      </c>
      <c r="C113" t="str">
        <f>VLOOKUP(B113,Ticker!$B:$E,3,FALSE)</f>
        <v>T</v>
      </c>
      <c r="D113" t="str">
        <f>VLOOKUP(B113,Ticker!$B:$E,4,FALSE)</f>
        <v>AT&amp;T Inc.</v>
      </c>
      <c r="E113" s="5">
        <v>44926</v>
      </c>
      <c r="F113" t="s">
        <v>127</v>
      </c>
      <c r="G113" t="str">
        <f t="shared" si="14"/>
        <v>Equipment installment receivables and related sales</v>
      </c>
      <c r="H113" s="10">
        <v>154</v>
      </c>
      <c r="I113" t="s">
        <v>43</v>
      </c>
      <c r="J113" s="14">
        <f t="shared" si="12"/>
        <v>154000000</v>
      </c>
    </row>
    <row r="114" spans="2:10">
      <c r="B114">
        <v>7</v>
      </c>
      <c r="C114" t="str">
        <f>VLOOKUP(B114,Ticker!$B:$E,3,FALSE)</f>
        <v>T</v>
      </c>
      <c r="D114" t="str">
        <f>VLOOKUP(B114,Ticker!$B:$E,4,FALSE)</f>
        <v>AT&amp;T Inc.</v>
      </c>
      <c r="E114" s="5">
        <v>44926</v>
      </c>
      <c r="F114" t="s">
        <v>128</v>
      </c>
      <c r="G114" t="str">
        <f t="shared" si="14"/>
        <v>Deferred customer contract acquisition and fulfillment costs</v>
      </c>
      <c r="H114" s="10">
        <v>-947</v>
      </c>
      <c r="I114" t="s">
        <v>43</v>
      </c>
      <c r="J114" s="14">
        <f t="shared" si="12"/>
        <v>-947000000</v>
      </c>
    </row>
    <row r="115" spans="2:10">
      <c r="B115">
        <v>7</v>
      </c>
      <c r="C115" t="str">
        <f>VLOOKUP(B115,Ticker!$B:$E,3,FALSE)</f>
        <v>T</v>
      </c>
      <c r="D115" t="str">
        <f>VLOOKUP(B115,Ticker!$B:$E,4,FALSE)</f>
        <v>AT&amp;T Inc.</v>
      </c>
      <c r="E115" s="5">
        <v>44926</v>
      </c>
      <c r="F115" t="s">
        <v>129</v>
      </c>
      <c r="G115" t="str">
        <f t="shared" si="14"/>
        <v>Postretirement claims and contributions</v>
      </c>
      <c r="H115" s="10">
        <v>-823</v>
      </c>
      <c r="I115" t="s">
        <v>43</v>
      </c>
      <c r="J115" s="14">
        <f t="shared" si="12"/>
        <v>-823000000</v>
      </c>
    </row>
    <row r="116" spans="2:10">
      <c r="B116">
        <v>7</v>
      </c>
      <c r="C116" t="str">
        <f>VLOOKUP(B116,Ticker!$B:$E,3,FALSE)</f>
        <v>T</v>
      </c>
      <c r="D116" t="str">
        <f>VLOOKUP(B116,Ticker!$B:$E,4,FALSE)</f>
        <v>AT&amp;T Inc.</v>
      </c>
      <c r="E116" s="5">
        <v>44926</v>
      </c>
      <c r="F116" t="s">
        <v>130</v>
      </c>
      <c r="G116" t="str">
        <f t="shared" si="14"/>
        <v>Other – net</v>
      </c>
      <c r="H116" s="10">
        <v>-146</v>
      </c>
      <c r="I116" t="s">
        <v>43</v>
      </c>
      <c r="J116" s="14">
        <f t="shared" si="12"/>
        <v>-146000000</v>
      </c>
    </row>
    <row r="117" spans="2:10">
      <c r="B117">
        <v>8</v>
      </c>
      <c r="C117" t="str">
        <f>VLOOKUP(B117,Ticker!$B:$E,3,FALSE)</f>
        <v>KO</v>
      </c>
      <c r="D117" t="str">
        <f>VLOOKUP(B117,Ticker!$B:$E,4,FALSE)</f>
        <v>Coca-Cola Co.</v>
      </c>
      <c r="E117" s="5">
        <v>44926</v>
      </c>
      <c r="F117" t="s">
        <v>134</v>
      </c>
      <c r="G117" t="str">
        <f>F117</f>
        <v>Consolidated net income</v>
      </c>
      <c r="H117" s="10">
        <v>9571</v>
      </c>
      <c r="I117" t="s">
        <v>43</v>
      </c>
      <c r="J117" s="14">
        <f t="shared" si="12"/>
        <v>9571000000</v>
      </c>
    </row>
    <row r="118" spans="2:10">
      <c r="B118">
        <v>8</v>
      </c>
      <c r="C118" t="str">
        <f>VLOOKUP(B118,Ticker!$B:$E,3,FALSE)</f>
        <v>KO</v>
      </c>
      <c r="D118" t="str">
        <f>VLOOKUP(B118,Ticker!$B:$E,4,FALSE)</f>
        <v>Coca-Cola Co.</v>
      </c>
      <c r="E118" s="5">
        <v>44926</v>
      </c>
      <c r="F118" t="s">
        <v>15</v>
      </c>
      <c r="G118" t="str">
        <f t="shared" ref="G118:G126" si="15">F118</f>
        <v>Depreciation and amortization</v>
      </c>
      <c r="H118" s="10">
        <v>1260</v>
      </c>
      <c r="I118" t="s">
        <v>43</v>
      </c>
      <c r="J118" s="14">
        <f t="shared" si="12"/>
        <v>1260000000</v>
      </c>
    </row>
    <row r="119" spans="2:10">
      <c r="B119">
        <v>8</v>
      </c>
      <c r="C119" t="str">
        <f>VLOOKUP(B119,Ticker!$B:$E,3,FALSE)</f>
        <v>KO</v>
      </c>
      <c r="D119" t="str">
        <f>VLOOKUP(B119,Ticker!$B:$E,4,FALSE)</f>
        <v>Coca-Cola Co.</v>
      </c>
      <c r="E119" s="5">
        <v>44926</v>
      </c>
      <c r="F119" t="s">
        <v>33</v>
      </c>
      <c r="G119" t="str">
        <f t="shared" si="15"/>
        <v>Stock-based compensation expense</v>
      </c>
      <c r="H119" s="10">
        <v>356</v>
      </c>
      <c r="I119" t="s">
        <v>43</v>
      </c>
      <c r="J119" s="14">
        <f t="shared" si="12"/>
        <v>356000000</v>
      </c>
    </row>
    <row r="120" spans="2:10">
      <c r="B120">
        <v>8</v>
      </c>
      <c r="C120" t="str">
        <f>VLOOKUP(B120,Ticker!$B:$E,3,FALSE)</f>
        <v>KO</v>
      </c>
      <c r="D120" t="str">
        <f>VLOOKUP(B120,Ticker!$B:$E,4,FALSE)</f>
        <v>Coca-Cola Co.</v>
      </c>
      <c r="E120" s="5">
        <v>44926</v>
      </c>
      <c r="F120" t="s">
        <v>36</v>
      </c>
      <c r="G120" t="str">
        <f t="shared" si="15"/>
        <v>Deferred income taxes</v>
      </c>
      <c r="H120" s="10">
        <v>-122</v>
      </c>
      <c r="I120" t="s">
        <v>43</v>
      </c>
      <c r="J120" s="14">
        <f t="shared" si="12"/>
        <v>-122000000</v>
      </c>
    </row>
    <row r="121" spans="2:10">
      <c r="B121">
        <v>8</v>
      </c>
      <c r="C121" t="str">
        <f>VLOOKUP(B121,Ticker!$B:$E,3,FALSE)</f>
        <v>KO</v>
      </c>
      <c r="D121" t="str">
        <f>VLOOKUP(B121,Ticker!$B:$E,4,FALSE)</f>
        <v>Coca-Cola Co.</v>
      </c>
      <c r="E121" s="5">
        <v>44926</v>
      </c>
      <c r="F121" t="s">
        <v>135</v>
      </c>
      <c r="G121" t="str">
        <f t="shared" si="15"/>
        <v>Equity (income) loss — net of dividends</v>
      </c>
      <c r="H121" s="10">
        <v>-838</v>
      </c>
      <c r="I121" t="s">
        <v>43</v>
      </c>
      <c r="J121" s="14">
        <f t="shared" si="12"/>
        <v>-838000000</v>
      </c>
    </row>
    <row r="122" spans="2:10">
      <c r="B122">
        <v>8</v>
      </c>
      <c r="C122" t="str">
        <f>VLOOKUP(B122,Ticker!$B:$E,3,FALSE)</f>
        <v>KO</v>
      </c>
      <c r="D122" t="str">
        <f>VLOOKUP(B122,Ticker!$B:$E,4,FALSE)</f>
        <v>Coca-Cola Co.</v>
      </c>
      <c r="E122" s="5">
        <v>44926</v>
      </c>
      <c r="F122" t="s">
        <v>136</v>
      </c>
      <c r="G122" t="str">
        <f t="shared" si="15"/>
        <v>Foreign currency adjustments</v>
      </c>
      <c r="H122" s="10">
        <v>203</v>
      </c>
      <c r="I122" t="s">
        <v>43</v>
      </c>
      <c r="J122" s="14">
        <f t="shared" si="12"/>
        <v>203000000</v>
      </c>
    </row>
    <row r="123" spans="2:10">
      <c r="B123">
        <v>8</v>
      </c>
      <c r="C123" t="str">
        <f>VLOOKUP(B123,Ticker!$B:$E,3,FALSE)</f>
        <v>KO</v>
      </c>
      <c r="D123" t="str">
        <f>VLOOKUP(B123,Ticker!$B:$E,4,FALSE)</f>
        <v>Coca-Cola Co.</v>
      </c>
      <c r="E123" s="5">
        <v>44926</v>
      </c>
      <c r="F123" t="s">
        <v>137</v>
      </c>
      <c r="G123" t="str">
        <f t="shared" si="15"/>
        <v>Significant (gains) losses — net</v>
      </c>
      <c r="H123" s="10">
        <v>-129</v>
      </c>
      <c r="I123" t="s">
        <v>43</v>
      </c>
      <c r="J123" s="14">
        <f t="shared" si="12"/>
        <v>-129000000</v>
      </c>
    </row>
    <row r="124" spans="2:10">
      <c r="B124">
        <v>8</v>
      </c>
      <c r="C124" t="str">
        <f>VLOOKUP(B124,Ticker!$B:$E,3,FALSE)</f>
        <v>KO</v>
      </c>
      <c r="D124" t="str">
        <f>VLOOKUP(B124,Ticker!$B:$E,4,FALSE)</f>
        <v>Coca-Cola Co.</v>
      </c>
      <c r="E124" s="5">
        <v>44926</v>
      </c>
      <c r="F124" t="s">
        <v>138</v>
      </c>
      <c r="G124" t="str">
        <f t="shared" si="15"/>
        <v>Other operating charges</v>
      </c>
      <c r="H124" s="10">
        <v>1086</v>
      </c>
      <c r="I124" t="s">
        <v>43</v>
      </c>
      <c r="J124" s="14">
        <f t="shared" si="12"/>
        <v>1086000000</v>
      </c>
    </row>
    <row r="125" spans="2:10">
      <c r="B125">
        <v>8</v>
      </c>
      <c r="C125" t="str">
        <f>VLOOKUP(B125,Ticker!$B:$E,3,FALSE)</f>
        <v>KO</v>
      </c>
      <c r="D125" t="str">
        <f>VLOOKUP(B125,Ticker!$B:$E,4,FALSE)</f>
        <v>Coca-Cola Co.</v>
      </c>
      <c r="E125" s="5">
        <v>44926</v>
      </c>
      <c r="F125" t="s">
        <v>139</v>
      </c>
      <c r="G125" t="str">
        <f t="shared" si="15"/>
        <v>Other items</v>
      </c>
      <c r="H125" s="10">
        <v>236</v>
      </c>
      <c r="I125" t="s">
        <v>43</v>
      </c>
      <c r="J125" s="14">
        <f t="shared" si="12"/>
        <v>236000000</v>
      </c>
    </row>
    <row r="126" spans="2:10">
      <c r="B126">
        <v>8</v>
      </c>
      <c r="C126" t="str">
        <f>VLOOKUP(B126,Ticker!$B:$E,3,FALSE)</f>
        <v>KO</v>
      </c>
      <c r="D126" t="str">
        <f>VLOOKUP(B126,Ticker!$B:$E,4,FALSE)</f>
        <v>Coca-Cola Co.</v>
      </c>
      <c r="E126" s="5">
        <v>44926</v>
      </c>
      <c r="F126" t="s">
        <v>140</v>
      </c>
      <c r="G126" t="str">
        <f t="shared" si="15"/>
        <v>Net change in operating assets and liabilities</v>
      </c>
      <c r="H126" s="10">
        <v>-605</v>
      </c>
      <c r="I126" t="s">
        <v>43</v>
      </c>
      <c r="J126" s="14">
        <f t="shared" si="12"/>
        <v>-605000000</v>
      </c>
    </row>
    <row r="127" spans="2:10">
      <c r="B127">
        <v>9</v>
      </c>
      <c r="C127" t="str">
        <f>VLOOKUP(B127,Ticker!$B:$E,3,FALSE)</f>
        <v>ED</v>
      </c>
      <c r="D127" t="str">
        <f>VLOOKUP(B127,Ticker!$B:$E,4,FALSE)</f>
        <v>Consolidated Edison, Inc.</v>
      </c>
      <c r="E127" s="5">
        <v>44926</v>
      </c>
      <c r="F127" t="s">
        <v>144</v>
      </c>
      <c r="G127" t="str">
        <f>F127</f>
        <v>Net Income</v>
      </c>
      <c r="H127" s="10">
        <v>1600</v>
      </c>
      <c r="I127" t="s">
        <v>43</v>
      </c>
      <c r="J127" s="14">
        <f t="shared" si="12"/>
        <v>1600000000</v>
      </c>
    </row>
    <row r="128" spans="2:10">
      <c r="B128">
        <v>9</v>
      </c>
      <c r="C128" t="str">
        <f>VLOOKUP(B128,Ticker!$B:$E,3,FALSE)</f>
        <v>ED</v>
      </c>
      <c r="D128" t="str">
        <f>VLOOKUP(B128,Ticker!$B:$E,4,FALSE)</f>
        <v>Consolidated Edison, Inc.</v>
      </c>
      <c r="E128" s="5">
        <v>44926</v>
      </c>
      <c r="F128" s="4" t="s">
        <v>145</v>
      </c>
      <c r="I128" t="s">
        <v>43</v>
      </c>
      <c r="J128" s="14">
        <f t="shared" si="12"/>
        <v>0</v>
      </c>
    </row>
    <row r="129" spans="2:10">
      <c r="B129">
        <v>9</v>
      </c>
      <c r="C129" t="str">
        <f>VLOOKUP(B129,Ticker!$B:$E,3,FALSE)</f>
        <v>ED</v>
      </c>
      <c r="D129" t="str">
        <f>VLOOKUP(B129,Ticker!$B:$E,4,FALSE)</f>
        <v>Consolidated Edison, Inc.</v>
      </c>
      <c r="E129" s="5">
        <v>44926</v>
      </c>
      <c r="F129" t="s">
        <v>15</v>
      </c>
      <c r="G129" t="str">
        <f t="shared" ref="G129:G133" si="16">F129</f>
        <v>Depreciation and amortization</v>
      </c>
      <c r="H129" s="10">
        <v>2056</v>
      </c>
      <c r="I129" t="s">
        <v>43</v>
      </c>
      <c r="J129" s="14">
        <f t="shared" si="12"/>
        <v>2056000000</v>
      </c>
    </row>
    <row r="130" spans="2:10">
      <c r="B130">
        <v>9</v>
      </c>
      <c r="C130" t="str">
        <f>VLOOKUP(B130,Ticker!$B:$E,3,FALSE)</f>
        <v>ED</v>
      </c>
      <c r="D130" t="str">
        <f>VLOOKUP(B130,Ticker!$B:$E,4,FALSE)</f>
        <v>Consolidated Edison, Inc.</v>
      </c>
      <c r="E130" s="5">
        <v>44926</v>
      </c>
      <c r="F130" t="s">
        <v>146</v>
      </c>
      <c r="G130" t="str">
        <f t="shared" si="16"/>
        <v>Impairment of assets</v>
      </c>
      <c r="I130" t="s">
        <v>43</v>
      </c>
      <c r="J130" s="14">
        <f t="shared" si="12"/>
        <v>0</v>
      </c>
    </row>
    <row r="131" spans="2:10">
      <c r="B131">
        <v>9</v>
      </c>
      <c r="C131" t="str">
        <f>VLOOKUP(B131,Ticker!$B:$E,3,FALSE)</f>
        <v>ED</v>
      </c>
      <c r="D131" t="str">
        <f>VLOOKUP(B131,Ticker!$B:$E,4,FALSE)</f>
        <v>Consolidated Edison, Inc.</v>
      </c>
      <c r="E131" s="5">
        <v>44926</v>
      </c>
      <c r="F131" t="s">
        <v>36</v>
      </c>
      <c r="G131" t="str">
        <f t="shared" si="16"/>
        <v>Deferred income taxes</v>
      </c>
      <c r="H131" s="10">
        <v>435</v>
      </c>
      <c r="I131" t="s">
        <v>43</v>
      </c>
      <c r="J131" s="14">
        <f t="shared" si="12"/>
        <v>435000000</v>
      </c>
    </row>
    <row r="132" spans="2:10">
      <c r="B132">
        <v>9</v>
      </c>
      <c r="C132" t="str">
        <f>VLOOKUP(B132,Ticker!$B:$E,3,FALSE)</f>
        <v>ED</v>
      </c>
      <c r="D132" t="str">
        <f>VLOOKUP(B132,Ticker!$B:$E,4,FALSE)</f>
        <v>Consolidated Edison, Inc.</v>
      </c>
      <c r="E132" s="5">
        <v>44926</v>
      </c>
      <c r="F132" t="s">
        <v>147</v>
      </c>
      <c r="G132" t="str">
        <f t="shared" si="16"/>
        <v>Net derivative (gains)/losses</v>
      </c>
      <c r="H132" s="10">
        <v>-181</v>
      </c>
      <c r="I132" t="s">
        <v>43</v>
      </c>
      <c r="J132" s="14">
        <f t="shared" si="12"/>
        <v>-181000000</v>
      </c>
    </row>
    <row r="133" spans="2:10">
      <c r="B133">
        <v>9</v>
      </c>
      <c r="C133" t="str">
        <f>VLOOKUP(B133,Ticker!$B:$E,3,FALSE)</f>
        <v>ED</v>
      </c>
      <c r="D133" t="str">
        <f>VLOOKUP(B133,Ticker!$B:$E,4,FALSE)</f>
        <v>Consolidated Edison, Inc.</v>
      </c>
      <c r="E133" s="5">
        <v>44926</v>
      </c>
      <c r="F133" t="s">
        <v>148</v>
      </c>
      <c r="G133" t="str">
        <f t="shared" si="16"/>
        <v>Other non-cash items, net</v>
      </c>
      <c r="H133" s="10">
        <v>163</v>
      </c>
      <c r="I133" t="s">
        <v>43</v>
      </c>
      <c r="J133" s="14">
        <f t="shared" si="12"/>
        <v>163000000</v>
      </c>
    </row>
    <row r="134" spans="2:10">
      <c r="B134">
        <v>9</v>
      </c>
      <c r="C134" t="str">
        <f>VLOOKUP(B134,Ticker!$B:$E,3,FALSE)</f>
        <v>ED</v>
      </c>
      <c r="D134" t="str">
        <f>VLOOKUP(B134,Ticker!$B:$E,4,FALSE)</f>
        <v>Consolidated Edison, Inc.</v>
      </c>
      <c r="E134" s="5">
        <v>44926</v>
      </c>
      <c r="F134" s="4" t="s">
        <v>149</v>
      </c>
      <c r="I134" t="s">
        <v>43</v>
      </c>
      <c r="J134" s="14">
        <f t="shared" si="12"/>
        <v>0</v>
      </c>
    </row>
    <row r="135" spans="2:10">
      <c r="B135">
        <v>9</v>
      </c>
      <c r="C135" t="str">
        <f>VLOOKUP(B135,Ticker!$B:$E,3,FALSE)</f>
        <v>ED</v>
      </c>
      <c r="D135" t="str">
        <f>VLOOKUP(B135,Ticker!$B:$E,4,FALSE)</f>
        <v>Consolidated Edison, Inc.</v>
      </c>
      <c r="E135" s="5">
        <v>44926</v>
      </c>
      <c r="F135" t="s">
        <v>150</v>
      </c>
      <c r="G135" t="str">
        <f t="shared" ref="G135:G148" si="17">F135</f>
        <v>Accounts receivable - customers</v>
      </c>
      <c r="H135" s="10">
        <v>-285</v>
      </c>
      <c r="I135" t="s">
        <v>43</v>
      </c>
      <c r="J135" s="14">
        <f t="shared" si="12"/>
        <v>-285000000</v>
      </c>
    </row>
    <row r="136" spans="2:10">
      <c r="B136">
        <v>9</v>
      </c>
      <c r="C136" t="str">
        <f>VLOOKUP(B136,Ticker!$B:$E,3,FALSE)</f>
        <v>ED</v>
      </c>
      <c r="D136" t="str">
        <f>VLOOKUP(B136,Ticker!$B:$E,4,FALSE)</f>
        <v>Consolidated Edison, Inc.</v>
      </c>
      <c r="E136" s="5">
        <v>44926</v>
      </c>
      <c r="F136" t="s">
        <v>151</v>
      </c>
      <c r="G136" t="str">
        <f t="shared" si="17"/>
        <v>Unbilled revenue and net unbilled revenue deferrals</v>
      </c>
      <c r="H136" s="10">
        <v>-96</v>
      </c>
      <c r="I136" t="s">
        <v>43</v>
      </c>
      <c r="J136" s="14">
        <f t="shared" si="12"/>
        <v>-96000000</v>
      </c>
    </row>
    <row r="137" spans="2:10">
      <c r="B137">
        <v>9</v>
      </c>
      <c r="C137" t="str">
        <f>VLOOKUP(B137,Ticker!$B:$E,3,FALSE)</f>
        <v>ED</v>
      </c>
      <c r="D137" t="str">
        <f>VLOOKUP(B137,Ticker!$B:$E,4,FALSE)</f>
        <v>Consolidated Edison, Inc.</v>
      </c>
      <c r="E137" s="5">
        <v>44926</v>
      </c>
      <c r="F137" t="s">
        <v>152</v>
      </c>
      <c r="G137" t="str">
        <f t="shared" si="17"/>
        <v>Allowance for uncollectible accounts – customers</v>
      </c>
      <c r="H137" s="10">
        <v>5</v>
      </c>
      <c r="I137" t="s">
        <v>43</v>
      </c>
      <c r="J137" s="14">
        <f t="shared" si="12"/>
        <v>5000000</v>
      </c>
    </row>
    <row r="138" spans="2:10">
      <c r="B138">
        <v>9</v>
      </c>
      <c r="C138" t="str">
        <f>VLOOKUP(B138,Ticker!$B:$E,3,FALSE)</f>
        <v>ED</v>
      </c>
      <c r="D138" t="str">
        <f>VLOOKUP(B138,Ticker!$B:$E,4,FALSE)</f>
        <v>Consolidated Edison, Inc.</v>
      </c>
      <c r="E138" s="5">
        <v>44926</v>
      </c>
      <c r="F138" t="s">
        <v>153</v>
      </c>
      <c r="G138" t="str">
        <f t="shared" si="17"/>
        <v>Materials and supplies, including fuel oil and gas in storage</v>
      </c>
      <c r="H138" s="10">
        <v>-111</v>
      </c>
      <c r="I138" t="s">
        <v>43</v>
      </c>
      <c r="J138" s="14">
        <f t="shared" si="12"/>
        <v>-111000000</v>
      </c>
    </row>
    <row r="139" spans="2:10">
      <c r="B139">
        <v>9</v>
      </c>
      <c r="C139" t="str">
        <f>VLOOKUP(B139,Ticker!$B:$E,3,FALSE)</f>
        <v>ED</v>
      </c>
      <c r="D139" t="str">
        <f>VLOOKUP(B139,Ticker!$B:$E,4,FALSE)</f>
        <v>Consolidated Edison, Inc.</v>
      </c>
      <c r="E139" s="5">
        <v>44926</v>
      </c>
      <c r="F139" t="s">
        <v>154</v>
      </c>
      <c r="G139" t="str">
        <f t="shared" si="17"/>
        <v>Prepayments, other receivables and other current assets</v>
      </c>
      <c r="H139" s="10">
        <v>31</v>
      </c>
      <c r="I139" t="s">
        <v>43</v>
      </c>
      <c r="J139" s="14">
        <f t="shared" si="12"/>
        <v>31000000</v>
      </c>
    </row>
    <row r="140" spans="2:10">
      <c r="B140">
        <v>9</v>
      </c>
      <c r="C140" t="str">
        <f>VLOOKUP(B140,Ticker!$B:$E,3,FALSE)</f>
        <v>ED</v>
      </c>
      <c r="D140" t="str">
        <f>VLOOKUP(B140,Ticker!$B:$E,4,FALSE)</f>
        <v>Consolidated Edison, Inc.</v>
      </c>
      <c r="E140" s="5">
        <v>44926</v>
      </c>
      <c r="F140" t="s">
        <v>24</v>
      </c>
      <c r="G140" t="str">
        <f t="shared" si="17"/>
        <v>Accounts payable</v>
      </c>
      <c r="H140" s="10">
        <v>558</v>
      </c>
      <c r="I140" t="s">
        <v>43</v>
      </c>
      <c r="J140" s="14">
        <f t="shared" si="12"/>
        <v>558000000</v>
      </c>
    </row>
    <row r="141" spans="2:10">
      <c r="B141">
        <v>9</v>
      </c>
      <c r="C141" t="str">
        <f>VLOOKUP(B141,Ticker!$B:$E,3,FALSE)</f>
        <v>ED</v>
      </c>
      <c r="D141" t="str">
        <f>VLOOKUP(B141,Ticker!$B:$E,4,FALSE)</f>
        <v>Consolidated Edison, Inc.</v>
      </c>
      <c r="E141" s="5">
        <v>44926</v>
      </c>
      <c r="F141" t="s">
        <v>155</v>
      </c>
      <c r="G141" t="str">
        <f t="shared" si="17"/>
        <v>Pensions and retiree benefits obligations, net</v>
      </c>
      <c r="H141" s="10">
        <v>176</v>
      </c>
      <c r="I141" t="s">
        <v>43</v>
      </c>
      <c r="J141" s="14">
        <f t="shared" si="12"/>
        <v>176000000</v>
      </c>
    </row>
    <row r="142" spans="2:10">
      <c r="B142">
        <v>9</v>
      </c>
      <c r="C142" t="str">
        <f>VLOOKUP(B142,Ticker!$B:$E,3,FALSE)</f>
        <v>ED</v>
      </c>
      <c r="D142" t="str">
        <f>VLOOKUP(B142,Ticker!$B:$E,4,FALSE)</f>
        <v>Consolidated Edison, Inc.</v>
      </c>
      <c r="E142" s="5">
        <v>44926</v>
      </c>
      <c r="F142" t="s">
        <v>156</v>
      </c>
      <c r="G142" t="str">
        <f t="shared" si="17"/>
        <v>Pensions and retiree benefits contributions</v>
      </c>
      <c r="H142" s="10">
        <v>-39</v>
      </c>
      <c r="I142" t="s">
        <v>43</v>
      </c>
      <c r="J142" s="14">
        <f t="shared" si="12"/>
        <v>-39000000</v>
      </c>
    </row>
    <row r="143" spans="2:10">
      <c r="B143">
        <v>9</v>
      </c>
      <c r="C143" t="str">
        <f>VLOOKUP(B143,Ticker!$B:$E,3,FALSE)</f>
        <v>ED</v>
      </c>
      <c r="D143" t="str">
        <f>VLOOKUP(B143,Ticker!$B:$E,4,FALSE)</f>
        <v>Consolidated Edison, Inc.</v>
      </c>
      <c r="E143" s="5">
        <v>44926</v>
      </c>
      <c r="F143" t="s">
        <v>157</v>
      </c>
      <c r="G143" t="str">
        <f t="shared" si="17"/>
        <v>Accrued taxes</v>
      </c>
      <c r="H143" s="10">
        <v>7</v>
      </c>
      <c r="I143" t="s">
        <v>43</v>
      </c>
      <c r="J143" s="14">
        <f t="shared" si="12"/>
        <v>7000000</v>
      </c>
    </row>
    <row r="144" spans="2:10">
      <c r="B144">
        <v>9</v>
      </c>
      <c r="C144" t="str">
        <f>VLOOKUP(B144,Ticker!$B:$E,3,FALSE)</f>
        <v>ED</v>
      </c>
      <c r="D144" t="str">
        <f>VLOOKUP(B144,Ticker!$B:$E,4,FALSE)</f>
        <v>Consolidated Edison, Inc.</v>
      </c>
      <c r="E144" s="5">
        <v>44926</v>
      </c>
      <c r="F144" t="s">
        <v>158</v>
      </c>
      <c r="G144" t="str">
        <f t="shared" si="17"/>
        <v>Distributions from equity investments</v>
      </c>
      <c r="H144" s="10">
        <v>20</v>
      </c>
      <c r="I144" t="s">
        <v>43</v>
      </c>
      <c r="J144" s="14">
        <f t="shared" si="12"/>
        <v>20000000</v>
      </c>
    </row>
    <row r="145" spans="2:10">
      <c r="B145">
        <v>9</v>
      </c>
      <c r="C145" t="str">
        <f>VLOOKUP(B145,Ticker!$B:$E,3,FALSE)</f>
        <v>ED</v>
      </c>
      <c r="D145" t="str">
        <f>VLOOKUP(B145,Ticker!$B:$E,4,FALSE)</f>
        <v>Consolidated Edison, Inc.</v>
      </c>
      <c r="E145" s="5">
        <v>44926</v>
      </c>
      <c r="F145" t="s">
        <v>159</v>
      </c>
      <c r="G145" t="str">
        <f t="shared" si="17"/>
        <v>System benefit charge</v>
      </c>
      <c r="H145" s="10">
        <v>-41</v>
      </c>
      <c r="I145" t="s">
        <v>43</v>
      </c>
      <c r="J145" s="14">
        <f t="shared" si="12"/>
        <v>-41000000</v>
      </c>
    </row>
    <row r="146" spans="2:10">
      <c r="B146">
        <v>9</v>
      </c>
      <c r="C146" t="str">
        <f>VLOOKUP(B146,Ticker!$B:$E,3,FALSE)</f>
        <v>ED</v>
      </c>
      <c r="D146" t="str">
        <f>VLOOKUP(B146,Ticker!$B:$E,4,FALSE)</f>
        <v>Consolidated Edison, Inc.</v>
      </c>
      <c r="E146" s="5">
        <v>44926</v>
      </c>
      <c r="F146" t="s">
        <v>160</v>
      </c>
      <c r="G146" t="str">
        <f t="shared" si="17"/>
        <v>Deferred charges, noncurrent assets, leases, net and other regulatory assets</v>
      </c>
      <c r="H146" s="10">
        <v>-870</v>
      </c>
      <c r="I146" t="s">
        <v>43</v>
      </c>
      <c r="J146" s="14">
        <f t="shared" si="12"/>
        <v>-870000000</v>
      </c>
    </row>
    <row r="147" spans="2:10">
      <c r="B147">
        <v>9</v>
      </c>
      <c r="C147" t="str">
        <f>VLOOKUP(B147,Ticker!$B:$E,3,FALSE)</f>
        <v>ED</v>
      </c>
      <c r="D147" t="str">
        <f>VLOOKUP(B147,Ticker!$B:$E,4,FALSE)</f>
        <v>Consolidated Edison, Inc.</v>
      </c>
      <c r="E147" s="5">
        <v>44926</v>
      </c>
      <c r="F147" t="s">
        <v>161</v>
      </c>
      <c r="G147" t="str">
        <f t="shared" si="17"/>
        <v>Deferred credits, noncurrent liabilities and other regulatory liabilities</v>
      </c>
      <c r="H147" s="10">
        <v>423</v>
      </c>
      <c r="I147" t="s">
        <v>43</v>
      </c>
      <c r="J147" s="14">
        <f t="shared" si="12"/>
        <v>423000000</v>
      </c>
    </row>
    <row r="148" spans="2:10">
      <c r="B148">
        <v>9</v>
      </c>
      <c r="C148" t="str">
        <f>VLOOKUP(B148,Ticker!$B:$E,3,FALSE)</f>
        <v>ED</v>
      </c>
      <c r="D148" t="str">
        <f>VLOOKUP(B148,Ticker!$B:$E,4,FALSE)</f>
        <v>Consolidated Edison, Inc.</v>
      </c>
      <c r="E148" s="5">
        <v>44926</v>
      </c>
      <c r="F148" t="s">
        <v>162</v>
      </c>
      <c r="G148" t="str">
        <f t="shared" si="17"/>
        <v>Other current liabilities</v>
      </c>
      <c r="H148" s="10">
        <v>84</v>
      </c>
      <c r="I148" t="s">
        <v>43</v>
      </c>
      <c r="J148" s="14">
        <f t="shared" si="12"/>
        <v>84000000</v>
      </c>
    </row>
    <row r="149" spans="2:10">
      <c r="B149">
        <v>10</v>
      </c>
      <c r="C149" t="str">
        <f>VLOOKUP(B149,Ticker!$B:$E,3,FALSE)</f>
        <v>HUSA</v>
      </c>
      <c r="D149" t="str">
        <f>VLOOKUP(B149,Ticker!$B:$E,4,FALSE)</f>
        <v>Houston American Energy Corporation</v>
      </c>
      <c r="E149" s="5">
        <v>44926</v>
      </c>
      <c r="F149" t="s">
        <v>167</v>
      </c>
      <c r="G149" t="str">
        <f>F149</f>
        <v>Net loss</v>
      </c>
      <c r="H149" s="10">
        <v>-744279</v>
      </c>
      <c r="I149" t="s">
        <v>178</v>
      </c>
      <c r="J149" s="10">
        <f>H149</f>
        <v>-744279</v>
      </c>
    </row>
    <row r="150" spans="2:10">
      <c r="B150">
        <v>10</v>
      </c>
      <c r="C150" t="str">
        <f>VLOOKUP(B150,Ticker!$B:$E,3,FALSE)</f>
        <v>HUSA</v>
      </c>
      <c r="D150" t="str">
        <f>VLOOKUP(B150,Ticker!$B:$E,4,FALSE)</f>
        <v>Houston American Energy Corporation</v>
      </c>
      <c r="E150" s="5">
        <v>44926</v>
      </c>
      <c r="F150" s="4" t="s">
        <v>168</v>
      </c>
      <c r="G150" t="str">
        <f t="shared" ref="G150:G154" si="18">F150</f>
        <v>Adjustments to reconcile net loss to net cash used in operations</v>
      </c>
      <c r="I150" t="s">
        <v>178</v>
      </c>
      <c r="J150" s="10">
        <f t="shared" ref="J150:J159" si="19">H150</f>
        <v>0</v>
      </c>
    </row>
    <row r="151" spans="2:10">
      <c r="B151">
        <v>10</v>
      </c>
      <c r="C151" t="str">
        <f>VLOOKUP(B151,Ticker!$B:$E,3,FALSE)</f>
        <v>HUSA</v>
      </c>
      <c r="D151" t="str">
        <f>VLOOKUP(B151,Ticker!$B:$E,4,FALSE)</f>
        <v>Houston American Energy Corporation</v>
      </c>
      <c r="E151" s="5">
        <v>44926</v>
      </c>
      <c r="F151" t="s">
        <v>169</v>
      </c>
      <c r="G151" t="str">
        <f t="shared" si="18"/>
        <v>Depreciation and depletion</v>
      </c>
      <c r="H151" s="10">
        <v>205458</v>
      </c>
      <c r="I151" t="s">
        <v>178</v>
      </c>
      <c r="J151" s="10">
        <f t="shared" si="19"/>
        <v>205458</v>
      </c>
    </row>
    <row r="152" spans="2:10">
      <c r="B152">
        <v>10</v>
      </c>
      <c r="C152" t="str">
        <f>VLOOKUP(B152,Ticker!$B:$E,3,FALSE)</f>
        <v>HUSA</v>
      </c>
      <c r="D152" t="str">
        <f>VLOOKUP(B152,Ticker!$B:$E,4,FALSE)</f>
        <v>Houston American Energy Corporation</v>
      </c>
      <c r="E152" s="5">
        <v>44926</v>
      </c>
      <c r="F152" t="s">
        <v>170</v>
      </c>
      <c r="G152" t="str">
        <f t="shared" si="18"/>
        <v>Accretion of plugging and abandonment costs</v>
      </c>
      <c r="H152" s="10">
        <v>4580</v>
      </c>
      <c r="I152" t="s">
        <v>178</v>
      </c>
      <c r="J152" s="10">
        <f t="shared" si="19"/>
        <v>4580</v>
      </c>
    </row>
    <row r="153" spans="2:10">
      <c r="B153">
        <v>10</v>
      </c>
      <c r="C153" t="str">
        <f>VLOOKUP(B153,Ticker!$B:$E,3,FALSE)</f>
        <v>HUSA</v>
      </c>
      <c r="D153" t="str">
        <f>VLOOKUP(B153,Ticker!$B:$E,4,FALSE)</f>
        <v>Houston American Energy Corporation</v>
      </c>
      <c r="E153" s="5">
        <v>44926</v>
      </c>
      <c r="F153" t="s">
        <v>171</v>
      </c>
      <c r="G153" t="str">
        <f t="shared" si="18"/>
        <v>Stock-based compensation</v>
      </c>
      <c r="H153" s="10">
        <v>206210</v>
      </c>
      <c r="I153" t="s">
        <v>178</v>
      </c>
      <c r="J153" s="10">
        <f t="shared" si="19"/>
        <v>206210</v>
      </c>
    </row>
    <row r="154" spans="2:10">
      <c r="B154">
        <v>10</v>
      </c>
      <c r="C154" t="str">
        <f>VLOOKUP(B154,Ticker!$B:$E,3,FALSE)</f>
        <v>HUSA</v>
      </c>
      <c r="D154" t="str">
        <f>VLOOKUP(B154,Ticker!$B:$E,4,FALSE)</f>
        <v>Houston American Energy Corporation</v>
      </c>
      <c r="E154" s="5">
        <v>44926</v>
      </c>
      <c r="F154" t="s">
        <v>172</v>
      </c>
      <c r="G154" t="str">
        <f t="shared" si="18"/>
        <v>Amortization of right of use asset</v>
      </c>
      <c r="H154" s="10">
        <v>60305</v>
      </c>
      <c r="I154" t="s">
        <v>178</v>
      </c>
      <c r="J154" s="10">
        <f t="shared" si="19"/>
        <v>60305</v>
      </c>
    </row>
    <row r="155" spans="2:10">
      <c r="B155">
        <v>10</v>
      </c>
      <c r="C155" t="str">
        <f>VLOOKUP(B155,Ticker!$B:$E,3,FALSE)</f>
        <v>HUSA</v>
      </c>
      <c r="D155" t="str">
        <f>VLOOKUP(B155,Ticker!$B:$E,4,FALSE)</f>
        <v>Houston American Energy Corporation</v>
      </c>
      <c r="E155" s="5">
        <v>44926</v>
      </c>
      <c r="F155" s="4" t="s">
        <v>173</v>
      </c>
      <c r="I155" t="s">
        <v>178</v>
      </c>
      <c r="J155" s="10">
        <f t="shared" si="19"/>
        <v>0</v>
      </c>
    </row>
    <row r="156" spans="2:10">
      <c r="B156">
        <v>10</v>
      </c>
      <c r="C156" t="str">
        <f>VLOOKUP(B156,Ticker!$B:$E,3,FALSE)</f>
        <v>HUSA</v>
      </c>
      <c r="D156" t="str">
        <f>VLOOKUP(B156,Ticker!$B:$E,4,FALSE)</f>
        <v>Houston American Energy Corporation</v>
      </c>
      <c r="E156" s="5">
        <v>44926</v>
      </c>
      <c r="F156" t="s">
        <v>174</v>
      </c>
      <c r="G156" t="str">
        <f t="shared" ref="G156:G159" si="20">F156</f>
        <v>Decrease/(Increase) in accounts receivable</v>
      </c>
      <c r="H156" s="10">
        <v>50087</v>
      </c>
      <c r="I156" t="s">
        <v>178</v>
      </c>
      <c r="J156" s="10">
        <f t="shared" si="19"/>
        <v>50087</v>
      </c>
    </row>
    <row r="157" spans="2:10">
      <c r="B157">
        <v>10</v>
      </c>
      <c r="C157" t="str">
        <f>VLOOKUP(B157,Ticker!$B:$E,3,FALSE)</f>
        <v>HUSA</v>
      </c>
      <c r="D157" t="str">
        <f>VLOOKUP(B157,Ticker!$B:$E,4,FALSE)</f>
        <v>Houston American Energy Corporation</v>
      </c>
      <c r="E157" s="5">
        <v>44926</v>
      </c>
      <c r="F157" t="s">
        <v>175</v>
      </c>
      <c r="G157" t="str">
        <f t="shared" si="20"/>
        <v>Decrease/(Increase) in prepaid expense and other current assets</v>
      </c>
      <c r="H157" s="10">
        <v>855</v>
      </c>
      <c r="I157" t="s">
        <v>178</v>
      </c>
      <c r="J157" s="10">
        <f t="shared" si="19"/>
        <v>855</v>
      </c>
    </row>
    <row r="158" spans="2:10">
      <c r="B158">
        <v>10</v>
      </c>
      <c r="C158" t="str">
        <f>VLOOKUP(B158,Ticker!$B:$E,3,FALSE)</f>
        <v>HUSA</v>
      </c>
      <c r="D158" t="str">
        <f>VLOOKUP(B158,Ticker!$B:$E,4,FALSE)</f>
        <v>Houston American Energy Corporation</v>
      </c>
      <c r="E158" s="5">
        <v>44926</v>
      </c>
      <c r="F158" t="s">
        <v>176</v>
      </c>
      <c r="G158" t="str">
        <f t="shared" si="20"/>
        <v>Increase/(Decrease) in accounts payable and accrued expenses</v>
      </c>
      <c r="H158" s="10">
        <v>53203</v>
      </c>
      <c r="I158" t="s">
        <v>178</v>
      </c>
      <c r="J158" s="10">
        <f t="shared" si="19"/>
        <v>53203</v>
      </c>
    </row>
    <row r="159" spans="2:10">
      <c r="B159">
        <v>10</v>
      </c>
      <c r="C159" t="str">
        <f>VLOOKUP(B159,Ticker!$B:$E,3,FALSE)</f>
        <v>HUSA</v>
      </c>
      <c r="D159" t="str">
        <f>VLOOKUP(B159,Ticker!$B:$E,4,FALSE)</f>
        <v>Houston American Energy Corporation</v>
      </c>
      <c r="E159" s="5">
        <v>44926</v>
      </c>
      <c r="F159" t="s">
        <v>177</v>
      </c>
      <c r="G159" t="str">
        <f t="shared" si="20"/>
        <v>Decrease in operating lease liability</v>
      </c>
      <c r="H159" s="10">
        <v>-65385</v>
      </c>
      <c r="I159" t="s">
        <v>178</v>
      </c>
      <c r="J159" s="10">
        <f t="shared" si="19"/>
        <v>-65385</v>
      </c>
    </row>
    <row r="160" spans="2:10">
      <c r="B160">
        <v>11</v>
      </c>
      <c r="C160" t="str">
        <f>VLOOKUP(B160,Ticker!$B:$E,3,FALSE)</f>
        <v>CBRE</v>
      </c>
      <c r="D160" t="str">
        <f>VLOOKUP(B160,Ticker!$B:$E,4,FALSE)</f>
        <v>CBRE Group, Inc.</v>
      </c>
      <c r="E160" s="5">
        <v>44926</v>
      </c>
      <c r="F160" t="s">
        <v>0</v>
      </c>
      <c r="G160" t="str">
        <f>F160</f>
        <v>Net income</v>
      </c>
      <c r="H160" s="10">
        <v>1423960</v>
      </c>
      <c r="I160" t="s">
        <v>42</v>
      </c>
      <c r="J160" s="10">
        <f t="shared" ref="J160:J183" si="21">H160*1000</f>
        <v>1423960000</v>
      </c>
    </row>
    <row r="161" spans="2:10">
      <c r="B161">
        <v>11</v>
      </c>
      <c r="C161" t="str">
        <f>VLOOKUP(B161,Ticker!$B:$E,3,FALSE)</f>
        <v>CBRE</v>
      </c>
      <c r="D161" t="str">
        <f>VLOOKUP(B161,Ticker!$B:$E,4,FALSE)</f>
        <v>CBRE Group, Inc.</v>
      </c>
      <c r="E161" s="5">
        <v>44926</v>
      </c>
      <c r="F161" s="4" t="s">
        <v>28</v>
      </c>
      <c r="I161" t="s">
        <v>42</v>
      </c>
      <c r="J161" s="10">
        <f t="shared" si="21"/>
        <v>0</v>
      </c>
    </row>
    <row r="162" spans="2:10">
      <c r="B162">
        <v>11</v>
      </c>
      <c r="C162" t="str">
        <f>VLOOKUP(B162,Ticker!$B:$E,3,FALSE)</f>
        <v>CBRE</v>
      </c>
      <c r="D162" t="str">
        <f>VLOOKUP(B162,Ticker!$B:$E,4,FALSE)</f>
        <v>CBRE Group, Inc.</v>
      </c>
      <c r="E162" s="5">
        <v>44926</v>
      </c>
      <c r="F162" t="s">
        <v>15</v>
      </c>
      <c r="G162" t="str">
        <f t="shared" ref="G162:G183" si="22">F162</f>
        <v>Depreciation and amortization</v>
      </c>
      <c r="H162" s="10">
        <v>613088</v>
      </c>
      <c r="I162" t="s">
        <v>42</v>
      </c>
      <c r="J162" s="10">
        <f t="shared" si="21"/>
        <v>613088000</v>
      </c>
    </row>
    <row r="163" spans="2:10">
      <c r="B163">
        <v>11</v>
      </c>
      <c r="C163" t="str">
        <f>VLOOKUP(B163,Ticker!$B:$E,3,FALSE)</f>
        <v>CBRE</v>
      </c>
      <c r="D163" t="str">
        <f>VLOOKUP(B163,Ticker!$B:$E,4,FALSE)</f>
        <v>CBRE Group, Inc.</v>
      </c>
      <c r="E163" s="5">
        <v>44926</v>
      </c>
      <c r="F163" t="s">
        <v>182</v>
      </c>
      <c r="G163" t="str">
        <f t="shared" si="22"/>
        <v>Amortization and write-off of financing costs on extinguished debt</v>
      </c>
      <c r="H163" s="10">
        <v>7741</v>
      </c>
      <c r="I163" t="s">
        <v>42</v>
      </c>
      <c r="J163" s="10">
        <f t="shared" si="21"/>
        <v>7741000</v>
      </c>
    </row>
    <row r="164" spans="2:10">
      <c r="B164">
        <v>11</v>
      </c>
      <c r="C164" t="str">
        <f>VLOOKUP(B164,Ticker!$B:$E,3,FALSE)</f>
        <v>CBRE</v>
      </c>
      <c r="D164" t="str">
        <f>VLOOKUP(B164,Ticker!$B:$E,4,FALSE)</f>
        <v>CBRE Group, Inc.</v>
      </c>
      <c r="E164" s="5">
        <v>44926</v>
      </c>
      <c r="F164" t="s">
        <v>183</v>
      </c>
      <c r="G164" t="str">
        <f t="shared" si="22"/>
        <v>Gains related to mortgage servicing rights, premiums on loan sales and sales of other assets</v>
      </c>
      <c r="H164" s="10">
        <v>-202507</v>
      </c>
      <c r="I164" t="s">
        <v>42</v>
      </c>
      <c r="J164" s="10">
        <f t="shared" si="21"/>
        <v>-202507000</v>
      </c>
    </row>
    <row r="165" spans="2:10">
      <c r="B165">
        <v>11</v>
      </c>
      <c r="C165" t="str">
        <f>VLOOKUP(B165,Ticker!$B:$E,3,FALSE)</f>
        <v>CBRE</v>
      </c>
      <c r="D165" t="str">
        <f>VLOOKUP(B165,Ticker!$B:$E,4,FALSE)</f>
        <v>CBRE Group, Inc.</v>
      </c>
      <c r="E165" s="5">
        <v>44926</v>
      </c>
      <c r="F165" t="s">
        <v>184</v>
      </c>
      <c r="G165" t="str">
        <f t="shared" si="22"/>
        <v>Asset impairments</v>
      </c>
      <c r="H165" s="10">
        <v>58713</v>
      </c>
      <c r="I165" t="s">
        <v>42</v>
      </c>
      <c r="J165" s="10">
        <f t="shared" si="21"/>
        <v>58713000</v>
      </c>
    </row>
    <row r="166" spans="2:10">
      <c r="B166">
        <v>11</v>
      </c>
      <c r="C166" t="str">
        <f>VLOOKUP(B166,Ticker!$B:$E,3,FALSE)</f>
        <v>CBRE</v>
      </c>
      <c r="D166" t="str">
        <f>VLOOKUP(B166,Ticker!$B:$E,4,FALSE)</f>
        <v>CBRE Group, Inc.</v>
      </c>
      <c r="E166" s="5">
        <v>44926</v>
      </c>
      <c r="F166" t="s">
        <v>185</v>
      </c>
      <c r="G166" t="str">
        <f t="shared" si="22"/>
        <v>Net realized and unrealized losses (gains), primarily from investments</v>
      </c>
      <c r="H166" s="10">
        <v>30482</v>
      </c>
      <c r="I166" t="s">
        <v>42</v>
      </c>
      <c r="J166" s="10">
        <f t="shared" si="21"/>
        <v>30482000</v>
      </c>
    </row>
    <row r="167" spans="2:10">
      <c r="B167">
        <v>11</v>
      </c>
      <c r="C167" t="str">
        <f>VLOOKUP(B167,Ticker!$B:$E,3,FALSE)</f>
        <v>CBRE</v>
      </c>
      <c r="D167" t="str">
        <f>VLOOKUP(B167,Ticker!$B:$E,4,FALSE)</f>
        <v>CBRE Group, Inc.</v>
      </c>
      <c r="E167" s="5">
        <v>44926</v>
      </c>
      <c r="F167" t="s">
        <v>186</v>
      </c>
      <c r="G167" t="str">
        <f t="shared" si="22"/>
        <v>Provision for doubtful accounts</v>
      </c>
      <c r="H167" s="10">
        <v>17026</v>
      </c>
      <c r="I167" t="s">
        <v>42</v>
      </c>
      <c r="J167" s="10">
        <f t="shared" si="21"/>
        <v>17026000</v>
      </c>
    </row>
    <row r="168" spans="2:10">
      <c r="B168">
        <v>11</v>
      </c>
      <c r="C168" t="str">
        <f>VLOOKUP(B168,Ticker!$B:$E,3,FALSE)</f>
        <v>CBRE</v>
      </c>
      <c r="D168" t="str">
        <f>VLOOKUP(B168,Ticker!$B:$E,4,FALSE)</f>
        <v>CBRE Group, Inc.</v>
      </c>
      <c r="E168" s="5">
        <v>44926</v>
      </c>
      <c r="F168" t="s">
        <v>187</v>
      </c>
      <c r="G168" t="str">
        <f t="shared" si="22"/>
        <v>Net compensation expense for equity awards</v>
      </c>
      <c r="H168" s="10">
        <v>160325</v>
      </c>
      <c r="I168" t="s">
        <v>42</v>
      </c>
      <c r="J168" s="10">
        <f t="shared" si="21"/>
        <v>160325000</v>
      </c>
    </row>
    <row r="169" spans="2:10">
      <c r="B169">
        <v>11</v>
      </c>
      <c r="C169" t="str">
        <f>VLOOKUP(B169,Ticker!$B:$E,3,FALSE)</f>
        <v>CBRE</v>
      </c>
      <c r="D169" t="str">
        <f>VLOOKUP(B169,Ticker!$B:$E,4,FALSE)</f>
        <v>CBRE Group, Inc.</v>
      </c>
      <c r="E169" s="5">
        <v>44926</v>
      </c>
      <c r="F169" t="s">
        <v>188</v>
      </c>
      <c r="G169" t="str">
        <f t="shared" si="22"/>
        <v>Gain recognized upon deconsolidation of SPAC</v>
      </c>
      <c r="I169" t="s">
        <v>42</v>
      </c>
      <c r="J169" s="10">
        <f t="shared" si="21"/>
        <v>0</v>
      </c>
    </row>
    <row r="170" spans="2:10">
      <c r="B170">
        <v>11</v>
      </c>
      <c r="C170" t="str">
        <f>VLOOKUP(B170,Ticker!$B:$E,3,FALSE)</f>
        <v>CBRE</v>
      </c>
      <c r="D170" t="str">
        <f>VLOOKUP(B170,Ticker!$B:$E,4,FALSE)</f>
        <v>CBRE Group, Inc.</v>
      </c>
      <c r="E170" s="5">
        <v>44926</v>
      </c>
      <c r="F170" t="s">
        <v>189</v>
      </c>
      <c r="G170" t="str">
        <f t="shared" si="22"/>
        <v>Equity income from unconsolidated subsidiaries</v>
      </c>
      <c r="H170" s="10">
        <v>-228998</v>
      </c>
      <c r="I170" t="s">
        <v>42</v>
      </c>
      <c r="J170" s="10">
        <f t="shared" si="21"/>
        <v>-228998000</v>
      </c>
    </row>
    <row r="171" spans="2:10">
      <c r="B171">
        <v>11</v>
      </c>
      <c r="C171" t="str">
        <f>VLOOKUP(B171,Ticker!$B:$E,3,FALSE)</f>
        <v>CBRE</v>
      </c>
      <c r="D171" t="str">
        <f>VLOOKUP(B171,Ticker!$B:$E,4,FALSE)</f>
        <v>CBRE Group, Inc.</v>
      </c>
      <c r="E171" s="5">
        <v>44926</v>
      </c>
      <c r="F171" t="s">
        <v>190</v>
      </c>
      <c r="G171" t="str">
        <f t="shared" si="22"/>
        <v>Distribution of earnings from unconsolidated subsidiaries</v>
      </c>
      <c r="H171" s="10">
        <v>389276</v>
      </c>
      <c r="I171" t="s">
        <v>42</v>
      </c>
      <c r="J171" s="10">
        <f t="shared" si="21"/>
        <v>389276000</v>
      </c>
    </row>
    <row r="172" spans="2:10">
      <c r="B172">
        <v>11</v>
      </c>
      <c r="C172" t="str">
        <f>VLOOKUP(B172,Ticker!$B:$E,3,FALSE)</f>
        <v>CBRE</v>
      </c>
      <c r="D172" t="str">
        <f>VLOOKUP(B172,Ticker!$B:$E,4,FALSE)</f>
        <v>CBRE Group, Inc.</v>
      </c>
      <c r="E172" s="5">
        <v>44926</v>
      </c>
      <c r="F172" t="s">
        <v>191</v>
      </c>
      <c r="G172" t="str">
        <f t="shared" si="22"/>
        <v>Proceeds from sale of mortgage loans</v>
      </c>
      <c r="H172" s="10">
        <v>14526920</v>
      </c>
      <c r="I172" t="s">
        <v>42</v>
      </c>
      <c r="J172" s="10">
        <f t="shared" si="21"/>
        <v>14526920000</v>
      </c>
    </row>
    <row r="173" spans="2:10">
      <c r="B173">
        <v>11</v>
      </c>
      <c r="C173" t="str">
        <f>VLOOKUP(B173,Ticker!$B:$E,3,FALSE)</f>
        <v>CBRE</v>
      </c>
      <c r="D173" t="str">
        <f>VLOOKUP(B173,Ticker!$B:$E,4,FALSE)</f>
        <v>CBRE Group, Inc.</v>
      </c>
      <c r="E173" s="5">
        <v>44926</v>
      </c>
      <c r="F173" t="s">
        <v>192</v>
      </c>
      <c r="G173" t="str">
        <f t="shared" si="22"/>
        <v>Origination of mortgage loans</v>
      </c>
      <c r="H173" s="10">
        <v>-13651807</v>
      </c>
      <c r="I173" t="s">
        <v>42</v>
      </c>
      <c r="J173" s="10">
        <f t="shared" si="21"/>
        <v>-13651807000</v>
      </c>
    </row>
    <row r="174" spans="2:10">
      <c r="B174">
        <v>11</v>
      </c>
      <c r="C174" t="str">
        <f>VLOOKUP(B174,Ticker!$B:$E,3,FALSE)</f>
        <v>CBRE</v>
      </c>
      <c r="D174" t="str">
        <f>VLOOKUP(B174,Ticker!$B:$E,4,FALSE)</f>
        <v>CBRE Group, Inc.</v>
      </c>
      <c r="E174" s="5">
        <v>44926</v>
      </c>
      <c r="F174" t="s">
        <v>193</v>
      </c>
      <c r="G174" t="str">
        <f t="shared" si="22"/>
        <v>(Decrease) increase in warehouse lines of credit</v>
      </c>
      <c r="H174" s="10">
        <v>-829611</v>
      </c>
      <c r="I174" t="s">
        <v>42</v>
      </c>
      <c r="J174" s="10">
        <f t="shared" si="21"/>
        <v>-829611000</v>
      </c>
    </row>
    <row r="175" spans="2:10">
      <c r="B175">
        <v>11</v>
      </c>
      <c r="C175" t="str">
        <f>VLOOKUP(B175,Ticker!$B:$E,3,FALSE)</f>
        <v>CBRE</v>
      </c>
      <c r="D175" t="str">
        <f>VLOOKUP(B175,Ticker!$B:$E,4,FALSE)</f>
        <v>CBRE Group, Inc.</v>
      </c>
      <c r="E175" s="5">
        <v>44926</v>
      </c>
      <c r="F175" t="s">
        <v>194</v>
      </c>
      <c r="G175" t="str">
        <f t="shared" si="22"/>
        <v>Tenant concessions received</v>
      </c>
      <c r="H175" s="10">
        <v>11605</v>
      </c>
      <c r="I175" t="s">
        <v>42</v>
      </c>
      <c r="J175" s="10">
        <f t="shared" si="21"/>
        <v>11605000</v>
      </c>
    </row>
    <row r="176" spans="2:10">
      <c r="B176">
        <v>11</v>
      </c>
      <c r="C176" t="str">
        <f>VLOOKUP(B176,Ticker!$B:$E,3,FALSE)</f>
        <v>CBRE</v>
      </c>
      <c r="D176" t="str">
        <f>VLOOKUP(B176,Ticker!$B:$E,4,FALSE)</f>
        <v>CBRE Group, Inc.</v>
      </c>
      <c r="E176" s="5">
        <v>44926</v>
      </c>
      <c r="F176" t="s">
        <v>195</v>
      </c>
      <c r="G176" t="str">
        <f t="shared" si="22"/>
        <v>Purchase of equity securities</v>
      </c>
      <c r="H176" s="10">
        <v>-28232</v>
      </c>
      <c r="I176" t="s">
        <v>42</v>
      </c>
      <c r="J176" s="10">
        <f t="shared" si="21"/>
        <v>-28232000</v>
      </c>
    </row>
    <row r="177" spans="2:10">
      <c r="B177">
        <v>11</v>
      </c>
      <c r="C177" t="str">
        <f>VLOOKUP(B177,Ticker!$B:$E,3,FALSE)</f>
        <v>CBRE</v>
      </c>
      <c r="D177" t="str">
        <f>VLOOKUP(B177,Ticker!$B:$E,4,FALSE)</f>
        <v>CBRE Group, Inc.</v>
      </c>
      <c r="E177" s="5">
        <v>44926</v>
      </c>
      <c r="F177" t="s">
        <v>196</v>
      </c>
      <c r="G177" t="str">
        <f t="shared" si="22"/>
        <v>Proceeds from sale of equity securities</v>
      </c>
      <c r="H177" s="10">
        <v>30360</v>
      </c>
      <c r="I177" t="s">
        <v>42</v>
      </c>
      <c r="J177" s="10">
        <f t="shared" si="21"/>
        <v>30360000</v>
      </c>
    </row>
    <row r="178" spans="2:10">
      <c r="B178">
        <v>11</v>
      </c>
      <c r="C178" t="str">
        <f>VLOOKUP(B178,Ticker!$B:$E,3,FALSE)</f>
        <v>CBRE</v>
      </c>
      <c r="D178" t="str">
        <f>VLOOKUP(B178,Ticker!$B:$E,4,FALSE)</f>
        <v>CBRE Group, Inc.</v>
      </c>
      <c r="E178" s="5">
        <v>44926</v>
      </c>
      <c r="F178" t="s">
        <v>197</v>
      </c>
      <c r="G178" t="str">
        <f t="shared" si="22"/>
        <v>Decrease (increase) in real estate under development</v>
      </c>
      <c r="H178" s="10">
        <v>94599</v>
      </c>
      <c r="I178" t="s">
        <v>42</v>
      </c>
      <c r="J178" s="10">
        <f t="shared" si="21"/>
        <v>94599000</v>
      </c>
    </row>
    <row r="179" spans="2:10">
      <c r="B179">
        <v>11</v>
      </c>
      <c r="C179" t="str">
        <f>VLOOKUP(B179,Ticker!$B:$E,3,FALSE)</f>
        <v>CBRE</v>
      </c>
      <c r="D179" t="str">
        <f>VLOOKUP(B179,Ticker!$B:$E,4,FALSE)</f>
        <v>CBRE Group, Inc.</v>
      </c>
      <c r="E179" s="5">
        <v>44926</v>
      </c>
      <c r="F179" t="s">
        <v>198</v>
      </c>
      <c r="G179" t="str">
        <f t="shared" si="22"/>
        <v>(Increase) decrease in receivables, prepaid expenses and other assets (including contract and lease assets)</v>
      </c>
      <c r="H179" s="10">
        <v>-503365</v>
      </c>
      <c r="I179" t="s">
        <v>42</v>
      </c>
      <c r="J179" s="10">
        <f t="shared" si="21"/>
        <v>-503365000</v>
      </c>
    </row>
    <row r="180" spans="2:10">
      <c r="B180">
        <v>11</v>
      </c>
      <c r="C180" t="str">
        <f>VLOOKUP(B180,Ticker!$B:$E,3,FALSE)</f>
        <v>CBRE</v>
      </c>
      <c r="D180" t="str">
        <f>VLOOKUP(B180,Ticker!$B:$E,4,FALSE)</f>
        <v>CBRE Group, Inc.</v>
      </c>
      <c r="E180" s="5">
        <v>44926</v>
      </c>
      <c r="F180" t="s">
        <v>199</v>
      </c>
      <c r="G180" t="str">
        <f t="shared" si="22"/>
        <v>Increase in accounts payable and accrued expenses and other liabilities (including contract and lease liabilities)</v>
      </c>
      <c r="H180" s="10">
        <v>64102</v>
      </c>
      <c r="I180" t="s">
        <v>42</v>
      </c>
      <c r="J180" s="10">
        <f t="shared" si="21"/>
        <v>64102000</v>
      </c>
    </row>
    <row r="181" spans="2:10">
      <c r="B181">
        <v>11</v>
      </c>
      <c r="C181" t="str">
        <f>VLOOKUP(B181,Ticker!$B:$E,3,FALSE)</f>
        <v>CBRE</v>
      </c>
      <c r="D181" t="str">
        <f>VLOOKUP(B181,Ticker!$B:$E,4,FALSE)</f>
        <v>CBRE Group, Inc.</v>
      </c>
      <c r="E181" s="5">
        <v>44926</v>
      </c>
      <c r="F181" t="s">
        <v>200</v>
      </c>
      <c r="G181" t="str">
        <f t="shared" si="22"/>
        <v>(Decrease) increase in compensation and employee benefits payable and accrued bonus and profit sharing</v>
      </c>
      <c r="H181" s="10">
        <v>-1995</v>
      </c>
      <c r="I181" t="s">
        <v>42</v>
      </c>
      <c r="J181" s="10">
        <f t="shared" si="21"/>
        <v>-1995000</v>
      </c>
    </row>
    <row r="182" spans="2:10">
      <c r="B182">
        <v>11</v>
      </c>
      <c r="C182" t="str">
        <f>VLOOKUP(B182,Ticker!$B:$E,3,FALSE)</f>
        <v>CBRE</v>
      </c>
      <c r="D182" t="str">
        <f>VLOOKUP(B182,Ticker!$B:$E,4,FALSE)</f>
        <v>CBRE Group, Inc.</v>
      </c>
      <c r="E182" s="5">
        <v>44926</v>
      </c>
      <c r="F182" t="s">
        <v>201</v>
      </c>
      <c r="G182" t="str">
        <f t="shared" si="22"/>
        <v>(Increase) decrease in net income taxes receivable/payable</v>
      </c>
      <c r="H182" s="10">
        <v>-133244</v>
      </c>
      <c r="I182" t="s">
        <v>42</v>
      </c>
      <c r="J182" s="10">
        <f t="shared" si="21"/>
        <v>-133244000</v>
      </c>
    </row>
    <row r="183" spans="2:10">
      <c r="B183">
        <v>11</v>
      </c>
      <c r="C183" t="str">
        <f>VLOOKUP(B183,Ticker!$B:$E,3,FALSE)</f>
        <v>CBRE</v>
      </c>
      <c r="D183" t="str">
        <f>VLOOKUP(B183,Ticker!$B:$E,4,FALSE)</f>
        <v>CBRE Group, Inc.</v>
      </c>
      <c r="E183" s="5">
        <v>44926</v>
      </c>
      <c r="F183" t="s">
        <v>202</v>
      </c>
      <c r="G183" t="str">
        <f t="shared" si="22"/>
        <v>Other operating activities, net</v>
      </c>
      <c r="H183" s="10">
        <v>-219350</v>
      </c>
      <c r="I183" t="s">
        <v>42</v>
      </c>
      <c r="J183" s="10">
        <f t="shared" si="21"/>
        <v>-219350000</v>
      </c>
    </row>
  </sheetData>
  <mergeCells count="1">
    <mergeCell ref="I1:K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6D36-A951-4FF7-8C90-B3954DA959AC}">
  <sheetPr codeName="shtCities"/>
  <dimension ref="A1:M1"/>
  <sheetViews>
    <sheetView tabSelected="1" workbookViewId="0"/>
  </sheetViews>
  <sheetFormatPr defaultRowHeight="15"/>
  <sheetData>
    <row r="1" spans="1:13">
      <c r="A1" s="8" t="s">
        <v>2</v>
      </c>
      <c r="D1" s="8" t="s">
        <v>2</v>
      </c>
      <c r="G1" s="8" t="s">
        <v>3</v>
      </c>
      <c r="H1" s="8" t="s">
        <v>1</v>
      </c>
      <c r="I1" s="8" t="s">
        <v>12</v>
      </c>
      <c r="J1" s="8" t="s">
        <v>13</v>
      </c>
      <c r="K1" s="11" t="s">
        <v>4</v>
      </c>
      <c r="L1" s="8" t="s">
        <v>41</v>
      </c>
      <c r="M1" s="11" t="s">
        <v>178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E1659-2824-4EAC-B37F-701640099D59}">
  <sheetPr codeName="Sheet2"/>
  <dimension ref="A1:B1"/>
  <sheetViews>
    <sheetView workbookViewId="0">
      <selection activeCell="D15" sqref="D15"/>
    </sheetView>
  </sheetViews>
  <sheetFormatPr defaultRowHeight="15"/>
  <sheetData>
    <row r="1" spans="1:2">
      <c r="A1" t="s">
        <v>203</v>
      </c>
      <c r="B1" t="s">
        <v>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89D84-6832-41C1-BC26-9F88C2EF182C}">
  <sheetPr codeName="Sheet3"/>
  <dimension ref="B2:F13"/>
  <sheetViews>
    <sheetView workbookViewId="0">
      <selection activeCell="I13" sqref="I13"/>
    </sheetView>
  </sheetViews>
  <sheetFormatPr defaultRowHeight="15"/>
  <cols>
    <col min="1" max="1" width="2.42578125" customWidth="1"/>
    <col min="2" max="2" width="4.140625" bestFit="1" customWidth="1"/>
    <col min="3" max="3" width="8.7109375" bestFit="1" customWidth="1"/>
    <col min="4" max="4" width="6.28515625" bestFit="1" customWidth="1"/>
    <col min="5" max="5" width="18.140625" bestFit="1" customWidth="1"/>
    <col min="6" max="6" width="22.5703125" bestFit="1" customWidth="1"/>
  </cols>
  <sheetData>
    <row r="2" spans="2:6">
      <c r="B2" s="4" t="s">
        <v>5</v>
      </c>
      <c r="C2" s="4" t="s">
        <v>7</v>
      </c>
      <c r="D2" s="4" t="s">
        <v>2</v>
      </c>
      <c r="E2" s="4" t="s">
        <v>3</v>
      </c>
      <c r="F2" s="4" t="s">
        <v>44</v>
      </c>
    </row>
    <row r="3" spans="2:6">
      <c r="B3">
        <v>1</v>
      </c>
      <c r="C3" t="s">
        <v>8</v>
      </c>
      <c r="D3" t="s">
        <v>6</v>
      </c>
      <c r="E3" t="s">
        <v>9</v>
      </c>
      <c r="F3" t="s">
        <v>45</v>
      </c>
    </row>
    <row r="4" spans="2:6">
      <c r="B4">
        <v>2</v>
      </c>
      <c r="C4" t="s">
        <v>8</v>
      </c>
      <c r="D4" t="s">
        <v>10</v>
      </c>
      <c r="E4" t="s">
        <v>11</v>
      </c>
      <c r="F4" t="s">
        <v>46</v>
      </c>
    </row>
    <row r="5" spans="2:6">
      <c r="B5">
        <v>3</v>
      </c>
      <c r="C5" t="s">
        <v>47</v>
      </c>
      <c r="D5" t="s">
        <v>48</v>
      </c>
      <c r="E5" t="s">
        <v>49</v>
      </c>
      <c r="F5" t="s">
        <v>50</v>
      </c>
    </row>
    <row r="6" spans="2:6">
      <c r="B6">
        <v>4</v>
      </c>
      <c r="C6" t="s">
        <v>47</v>
      </c>
      <c r="D6" t="s">
        <v>62</v>
      </c>
      <c r="E6" t="s">
        <v>63</v>
      </c>
      <c r="F6" t="s">
        <v>64</v>
      </c>
    </row>
    <row r="7" spans="2:6">
      <c r="B7">
        <v>5</v>
      </c>
      <c r="C7" t="s">
        <v>47</v>
      </c>
      <c r="D7" t="s">
        <v>80</v>
      </c>
      <c r="E7" t="s">
        <v>81</v>
      </c>
      <c r="F7" t="s">
        <v>82</v>
      </c>
    </row>
    <row r="8" spans="2:6">
      <c r="B8">
        <v>6</v>
      </c>
      <c r="C8" t="s">
        <v>47</v>
      </c>
      <c r="D8" t="s">
        <v>98</v>
      </c>
      <c r="E8" t="s">
        <v>100</v>
      </c>
      <c r="F8" t="s">
        <v>99</v>
      </c>
    </row>
    <row r="9" spans="2:6">
      <c r="B9">
        <v>7</v>
      </c>
      <c r="C9" t="s">
        <v>47</v>
      </c>
      <c r="D9" t="s">
        <v>115</v>
      </c>
      <c r="E9" t="s">
        <v>116</v>
      </c>
      <c r="F9" t="s">
        <v>117</v>
      </c>
    </row>
    <row r="10" spans="2:6">
      <c r="B10">
        <v>8</v>
      </c>
      <c r="C10" t="s">
        <v>47</v>
      </c>
      <c r="D10" t="s">
        <v>131</v>
      </c>
      <c r="E10" t="s">
        <v>132</v>
      </c>
      <c r="F10" t="s">
        <v>133</v>
      </c>
    </row>
    <row r="11" spans="2:6">
      <c r="B11">
        <v>9</v>
      </c>
      <c r="C11" t="s">
        <v>47</v>
      </c>
      <c r="D11" t="s">
        <v>141</v>
      </c>
      <c r="E11" t="s">
        <v>142</v>
      </c>
      <c r="F11" t="s">
        <v>143</v>
      </c>
    </row>
    <row r="12" spans="2:6">
      <c r="B12">
        <v>10</v>
      </c>
      <c r="C12" t="s">
        <v>163</v>
      </c>
      <c r="D12" t="s">
        <v>164</v>
      </c>
      <c r="E12" t="s">
        <v>165</v>
      </c>
      <c r="F12" t="s">
        <v>166</v>
      </c>
    </row>
    <row r="13" spans="2:6">
      <c r="B13">
        <v>11</v>
      </c>
      <c r="C13" t="s">
        <v>47</v>
      </c>
      <c r="D13" t="s">
        <v>179</v>
      </c>
      <c r="E13" t="s">
        <v>180</v>
      </c>
      <c r="F13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4</vt:i4>
      </vt:variant>
    </vt:vector>
  </HeadingPairs>
  <TitlesOfParts>
    <vt:vector size="8" baseType="lpstr">
      <vt:lpstr>Operating CF</vt:lpstr>
      <vt:lpstr>Cities</vt:lpstr>
      <vt:lpstr>Sheet2</vt:lpstr>
      <vt:lpstr>Ticker</vt:lpstr>
      <vt:lpstr>Cities!Criteria</vt:lpstr>
      <vt:lpstr>Cities!Extract</vt:lpstr>
      <vt:lpstr>NameSampleHeader</vt:lpstr>
      <vt:lpstr>SaveLocation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Jihye Hong</dc:creator>
  <cp:lastModifiedBy>Hong Jihye</cp:lastModifiedBy>
  <dcterms:created xsi:type="dcterms:W3CDTF">2023-06-27T10:23:19Z</dcterms:created>
  <dcterms:modified xsi:type="dcterms:W3CDTF">2023-07-22T15:03:27Z</dcterms:modified>
</cp:coreProperties>
</file>